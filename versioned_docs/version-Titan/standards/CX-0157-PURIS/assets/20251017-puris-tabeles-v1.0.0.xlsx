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T-T5\Catena-X\PURIS\Expert Group\Standards update\"/>
    </mc:Choice>
  </mc:AlternateContent>
  <xr:revisionPtr revIDLastSave="0" documentId="8_{85E6A42C-19CA-4264-9577-7B63B6484F18}" xr6:coauthVersionLast="47" xr6:coauthVersionMax="47" xr10:uidLastSave="{00000000-0000-0000-0000-000000000000}"/>
  <bookViews>
    <workbookView xWindow="-120" yWindow="-120" windowWidth="29040" windowHeight="15720" activeTab="6" xr2:uid="{1FE12E99-A66D-45BA-A929-123CF28540D8}"/>
  </bookViews>
  <sheets>
    <sheet name="Tabelle1" sheetId="1" r:id="rId1"/>
    <sheet name="5.2.2.1" sheetId="2" r:id="rId2"/>
    <sheet name="5.2.2.2" sheetId="7" r:id="rId3"/>
    <sheet name="5.2.2.3" sheetId="6" r:id="rId4"/>
    <sheet name="5.4.2.2" sheetId="5" r:id="rId5"/>
    <sheet name="5.4.3.2" sheetId="3" r:id="rId6"/>
    <sheet name="5.4.4.2" sheetId="4" r:id="rId7"/>
  </sheets>
  <definedNames>
    <definedName name="_xlnm.Print_Area" localSheetId="1">'5.2.2.1'!$B$5:$F$11,'5.2.2.1'!$B$19:$F$25</definedName>
    <definedName name="_xlnm.Print_Area" localSheetId="2">'5.2.2.2'!$B$5:$F$12,'5.2.2.2'!$B$19:$F$26</definedName>
    <definedName name="_xlnm.Print_Area" localSheetId="3">'5.2.2.3'!$B$5:$G$15</definedName>
    <definedName name="_xlnm.Print_Area" localSheetId="4">'5.4.2.2'!$B$5:$M$15</definedName>
    <definedName name="_xlnm.Print_Area" localSheetId="5">'5.4.3.2'!$B$5:$R$20</definedName>
    <definedName name="_xlnm.Print_Area" localSheetId="6">'5.4.4.2'!$B$5:$L$16</definedName>
    <definedName name="_xlnm.Print_Area" localSheetId="0">Tabelle1!$A$1:$E$9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5" l="1"/>
  <c r="J15" i="5" s="1"/>
  <c r="L15" i="5" s="1"/>
  <c r="J12" i="5"/>
  <c r="M19" i="3"/>
  <c r="O19" i="3"/>
  <c r="O20" i="3"/>
  <c r="M20" i="3"/>
  <c r="I15" i="5"/>
  <c r="K15" i="5" s="1"/>
  <c r="G15" i="5"/>
  <c r="P20" i="3"/>
  <c r="N20" i="3"/>
  <c r="L20" i="3"/>
  <c r="K20" i="3"/>
  <c r="J20" i="3"/>
  <c r="H20" i="3"/>
  <c r="G20" i="3"/>
  <c r="F20" i="3"/>
  <c r="E20" i="3"/>
  <c r="R19" i="3"/>
  <c r="Q19" i="3"/>
  <c r="P19" i="3"/>
  <c r="N19" i="3"/>
  <c r="L19" i="3"/>
  <c r="J19" i="3"/>
  <c r="H19" i="3"/>
  <c r="I19" i="3"/>
  <c r="G19" i="3"/>
  <c r="F19" i="3"/>
  <c r="E19" i="3"/>
  <c r="D19" i="3"/>
  <c r="C24" i="7"/>
  <c r="D24" i="7" s="1"/>
  <c r="E24" i="7" s="1"/>
  <c r="F24" i="7" s="1"/>
  <c r="D9" i="2"/>
  <c r="E9" i="2"/>
  <c r="F9" i="2"/>
  <c r="C9" i="2"/>
  <c r="C23" i="2"/>
  <c r="D23" i="2" s="1"/>
  <c r="E23" i="2" s="1"/>
  <c r="F23" i="2" s="1"/>
  <c r="D15" i="5"/>
  <c r="E15" i="5" s="1"/>
  <c r="F15" i="5" s="1"/>
  <c r="D12" i="5"/>
  <c r="E12" i="5" s="1"/>
  <c r="F12" i="5" s="1"/>
  <c r="G12" i="5" s="1"/>
  <c r="F22" i="2"/>
  <c r="E22" i="2"/>
  <c r="D22" i="2"/>
  <c r="C22" i="2"/>
  <c r="F8" i="2"/>
  <c r="E8" i="2"/>
  <c r="D8" i="2"/>
  <c r="C8" i="2"/>
  <c r="F8" i="7"/>
  <c r="F9" i="7" s="1"/>
  <c r="E8" i="7"/>
  <c r="E9" i="7" s="1"/>
  <c r="D8" i="7"/>
  <c r="D9" i="7" s="1"/>
  <c r="C8" i="7"/>
  <c r="F22" i="7"/>
  <c r="F23" i="7" s="1"/>
  <c r="E22" i="7"/>
  <c r="E23" i="7" s="1"/>
  <c r="C22" i="7"/>
  <c r="C23" i="7" s="1"/>
  <c r="D8" i="6"/>
  <c r="E11" i="6"/>
  <c r="F11" i="6"/>
  <c r="F12" i="6" s="1"/>
  <c r="G11" i="6"/>
  <c r="E8" i="6"/>
  <c r="F8" i="6"/>
  <c r="F9" i="6" s="1"/>
  <c r="G8" i="6"/>
  <c r="D11" i="6"/>
  <c r="D12" i="6" s="1"/>
  <c r="G9" i="6"/>
  <c r="G12" i="6"/>
  <c r="E9" i="6"/>
  <c r="D9" i="6"/>
  <c r="E6" i="4"/>
  <c r="E5" i="4"/>
  <c r="D14" i="4"/>
  <c r="E14" i="4"/>
  <c r="F14" i="4"/>
  <c r="G14" i="4"/>
  <c r="H14" i="4"/>
  <c r="I14" i="4"/>
  <c r="J14" i="4"/>
  <c r="K14" i="4"/>
  <c r="L14" i="4"/>
  <c r="C14" i="4"/>
  <c r="I20" i="3"/>
  <c r="E11" i="3"/>
  <c r="F11" i="3"/>
  <c r="G11" i="3"/>
  <c r="I11" i="3"/>
  <c r="J11" i="3"/>
  <c r="K11" i="3"/>
  <c r="L11" i="3"/>
  <c r="M11" i="3"/>
  <c r="N11" i="3"/>
  <c r="O11" i="3"/>
  <c r="P11" i="3"/>
  <c r="Q11" i="3"/>
  <c r="R11" i="3"/>
  <c r="E12" i="3"/>
  <c r="F12" i="3"/>
  <c r="G12" i="3"/>
  <c r="I12" i="3"/>
  <c r="J12" i="3"/>
  <c r="K12" i="3"/>
  <c r="L12" i="3"/>
  <c r="M12" i="3"/>
  <c r="N12" i="3"/>
  <c r="O12" i="3"/>
  <c r="P12" i="3"/>
  <c r="Q12" i="3"/>
  <c r="R12" i="3"/>
  <c r="E13" i="3"/>
  <c r="F13" i="3"/>
  <c r="G13" i="3"/>
  <c r="I13" i="3"/>
  <c r="J13" i="3"/>
  <c r="K13" i="3"/>
  <c r="L13" i="3"/>
  <c r="M13" i="3"/>
  <c r="O13" i="3"/>
  <c r="Q13" i="3"/>
  <c r="R13" i="3"/>
  <c r="E14" i="3"/>
  <c r="F14" i="3"/>
  <c r="G14" i="3"/>
  <c r="I14" i="3"/>
  <c r="K14" i="3"/>
  <c r="L14" i="3"/>
  <c r="M14" i="3"/>
  <c r="N14" i="3"/>
  <c r="O14" i="3"/>
  <c r="Q14" i="3"/>
  <c r="R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D20" i="3"/>
  <c r="D11" i="3"/>
  <c r="D12" i="3"/>
  <c r="D13" i="3"/>
  <c r="D14" i="3"/>
  <c r="D15" i="3"/>
  <c r="C15" i="3"/>
  <c r="C18" i="3"/>
  <c r="C14" i="3"/>
  <c r="C13" i="3"/>
  <c r="C12" i="3"/>
  <c r="C11" i="3"/>
  <c r="I12" i="5" l="1"/>
  <c r="H12" i="5"/>
  <c r="L12" i="5" s="1"/>
  <c r="C9" i="7"/>
  <c r="C10" i="7" s="1"/>
  <c r="D10" i="7" s="1"/>
  <c r="E10" i="7" s="1"/>
  <c r="F10" i="7" s="1"/>
  <c r="D13" i="6"/>
  <c r="E12" i="6"/>
  <c r="E13" i="6" s="1"/>
  <c r="F13" i="6" s="1"/>
  <c r="G13" i="6" s="1"/>
  <c r="Q20" i="3"/>
  <c r="R20" i="3" s="1"/>
  <c r="E18" i="3"/>
  <c r="D18" i="3"/>
  <c r="M15" i="5" l="1"/>
  <c r="K12" i="5"/>
  <c r="M12" i="5" s="1"/>
  <c r="F18" i="3"/>
  <c r="G18" i="3" l="1"/>
  <c r="H18" i="3" l="1"/>
  <c r="I18" i="3" l="1"/>
  <c r="K19" i="3" l="1"/>
  <c r="J18" i="3"/>
  <c r="K18" i="3" l="1"/>
  <c r="L18" i="3" l="1"/>
  <c r="M18" i="3" l="1"/>
  <c r="N18" i="3" l="1"/>
  <c r="O18" i="3" l="1"/>
  <c r="P18" i="3" l="1"/>
  <c r="Q18" i="3" l="1"/>
  <c r="R18" i="3"/>
</calcChain>
</file>

<file path=xl/sharedStrings.xml><?xml version="1.0" encoding="utf-8"?>
<sst xmlns="http://schemas.openxmlformats.org/spreadsheetml/2006/main" count="169" uniqueCount="85">
  <si>
    <t>PURIS Standards mergen</t>
  </si>
  <si>
    <t>hier sind die aktuellen Tabellen des Kapitel 5 enthalten.</t>
  </si>
  <si>
    <t>Ersteller: PURIS EG  (responsible: Mathias, Frank, Tom)</t>
  </si>
  <si>
    <t>Table 21: Single sourcing with one demand category and daily ordering</t>
  </si>
  <si>
    <t>Table 33: Multi-source customer example</t>
  </si>
  <si>
    <t>Situation</t>
  </si>
  <si>
    <t>Call off customer TOTAL</t>
  </si>
  <si>
    <t>Delivery A</t>
  </si>
  <si>
    <t>Delivery B</t>
  </si>
  <si>
    <t>Consumption customer TOTAL</t>
  </si>
  <si>
    <t>Allocated consumption A</t>
  </si>
  <si>
    <t>Allocated consumption B</t>
  </si>
  <si>
    <t>Day 1</t>
  </si>
  <si>
    <t>Day 2</t>
  </si>
  <si>
    <t>Day 3</t>
  </si>
  <si>
    <t>Day 4</t>
  </si>
  <si>
    <t>Day 10</t>
  </si>
  <si>
    <t>Day 11</t>
  </si>
  <si>
    <t>Day 5 - Plan</t>
  </si>
  <si>
    <t>Day 5 - Is</t>
  </si>
  <si>
    <t>Day 6 - Plan</t>
  </si>
  <si>
    <t>Day 6 - Is</t>
  </si>
  <si>
    <t>Day 7 - Plan</t>
  </si>
  <si>
    <t>Day 7 - Is</t>
  </si>
  <si>
    <t>Day 8 - Plan</t>
  </si>
  <si>
    <t>Day 8 - Is</t>
  </si>
  <si>
    <t>Day 9 - Plan</t>
  </si>
  <si>
    <t>Day 9 - Is</t>
  </si>
  <si>
    <t>Transferable information from item stock per day</t>
  </si>
  <si>
    <t>Prod Sup
100%</t>
  </si>
  <si>
    <t>Shortage Sup prod 0%</t>
  </si>
  <si>
    <t xml:space="preserve"> Sup prod 
100%</t>
  </si>
  <si>
    <t>Table 31: Single source example</t>
  </si>
  <si>
    <t>Sup prod 
100%</t>
  </si>
  <si>
    <t>Delivery</t>
  </si>
  <si>
    <t>Supplier</t>
  </si>
  <si>
    <t>Table 25: Multi-sourcing with multiple demand categories to signal stock building</t>
  </si>
  <si>
    <t>Customer Information</t>
  </si>
  <si>
    <t>Call-Off/order amount</t>
  </si>
  <si>
    <t>Demand category = Series/Default</t>
  </si>
  <si>
    <t>End of day Item Stock</t>
  </si>
  <si>
    <t>To supplier #1
(60%)</t>
  </si>
  <si>
    <t>To supplier #2
(40%)</t>
  </si>
  <si>
    <t>Transferable Short-Term Material Demand Information</t>
  </si>
  <si>
    <t>Table 24: Single sourcing with multiple demand categories to distinguish quantities for logistical optimizations</t>
  </si>
  <si>
    <t>Table 23: Single sourcing with multiple demand categories to signal stock building</t>
  </si>
  <si>
    <t>Table 22: Single sourcing with one demand category and non-daily ordering</t>
  </si>
  <si>
    <t>Day 0</t>
  </si>
  <si>
    <t>Delivery to customer A</t>
  </si>
  <si>
    <t>Delivery to customer B</t>
  </si>
  <si>
    <t xml:space="preserve"> </t>
  </si>
  <si>
    <t>Stand: 20251016</t>
  </si>
  <si>
    <t>Manual intervention to increase delivery quantity</t>
  </si>
  <si>
    <t>Shortage situation delivery quantity remained below plan</t>
  </si>
  <si>
    <t>Normal consumption</t>
  </si>
  <si>
    <t>Quote supplier A</t>
  </si>
  <si>
    <t>Quote supplier B</t>
  </si>
  <si>
    <t>Item stock A</t>
  </si>
  <si>
    <t>Item stock B</t>
  </si>
  <si>
    <t>Consumption consumer A</t>
  </si>
  <si>
    <t>Consumption consumer B</t>
  </si>
  <si>
    <t>Production output supplier</t>
  </si>
  <si>
    <t>Normal consumption
customer</t>
  </si>
  <si>
    <t>Production output 
supplier</t>
  </si>
  <si>
    <t>Consumption</t>
  </si>
  <si>
    <t xml:space="preserve">   Production output</t>
  </si>
  <si>
    <t xml:space="preserve">   Item stock </t>
  </si>
  <si>
    <t xml:space="preserve">Item stock </t>
  </si>
  <si>
    <t>Customer information</t>
  </si>
  <si>
    <t>Consumption in production</t>
  </si>
  <si>
    <t>End of day item stock</t>
  </si>
  <si>
    <t>Call-off</t>
  </si>
  <si>
    <t>Allocated call-off A</t>
  </si>
  <si>
    <t>Allocated call-off B</t>
  </si>
  <si>
    <t>Call-off customer A</t>
  </si>
  <si>
    <t>Call-off customer B</t>
  </si>
  <si>
    <t>Demand category = Extraordinary demand</t>
  </si>
  <si>
    <t>Table 35: Single supplier to multi customer example</t>
  </si>
  <si>
    <t>Item stock supplier site 
for customer A</t>
  </si>
  <si>
    <t>Item stock supplier site 
for customer B</t>
  </si>
  <si>
    <t>Item stock supplier site TOTAL</t>
  </si>
  <si>
    <t>Consumption in Production</t>
  </si>
  <si>
    <t>Item stock customer TOTAL</t>
  </si>
  <si>
    <t>Shortage supplier B</t>
  </si>
  <si>
    <t>Shortage supplier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</si>
</sst>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1"/>
      </left>
      <right style="thin">
        <color theme="2" tint="-0.249977111117893"/>
      </right>
      <top style="thin">
        <color theme="1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1"/>
      </top>
      <bottom style="thin">
        <color theme="2" tint="-0.249977111117893"/>
      </bottom>
      <diagonal/>
    </border>
    <border>
      <left/>
      <right/>
      <top style="thin">
        <color theme="1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 style="thin">
        <color theme="1"/>
      </top>
      <bottom style="thin">
        <color theme="2" tint="-0.249977111117893"/>
      </bottom>
      <diagonal/>
    </border>
    <border>
      <left style="thin">
        <color theme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/>
      <bottom style="thin">
        <color theme="2" tint="-0.249977111117893"/>
      </bottom>
      <diagonal/>
    </border>
    <border>
      <left style="thin">
        <color theme="1"/>
      </left>
      <right style="thin">
        <color theme="2" tint="-0.249977111117893"/>
      </right>
      <top style="thin">
        <color theme="2" tint="-0.249977111117893"/>
      </top>
      <bottom style="thin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1"/>
      </bottom>
      <diagonal/>
    </border>
    <border>
      <left style="thin">
        <color theme="2" tint="-0.249977111117893"/>
      </left>
      <right style="thin">
        <color theme="1"/>
      </right>
      <top style="thin">
        <color theme="2" tint="-0.249977111117893"/>
      </top>
      <bottom style="thin">
        <color theme="1"/>
      </bottom>
      <diagonal/>
    </border>
    <border>
      <left style="thin">
        <color theme="1"/>
      </left>
      <right style="thin">
        <color theme="0" tint="-0.34998626667073579"/>
      </right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/>
      <diagonal/>
    </border>
    <border>
      <left style="thin">
        <color theme="0" tint="-0.34998626667073579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 style="thin">
        <color theme="1"/>
      </right>
      <top style="thin">
        <color theme="1"/>
      </top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1"/>
      </bottom>
      <diagonal/>
    </border>
    <border>
      <left style="thin">
        <color theme="0" tint="-0.34998626667073579"/>
      </left>
      <right/>
      <top style="thin">
        <color theme="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1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/>
    <xf numFmtId="0" fontId="0" fillId="5" borderId="1" xfId="0" applyFill="1" applyBorder="1"/>
    <xf numFmtId="0" fontId="0" fillId="4" borderId="1" xfId="0" applyFill="1" applyBorder="1"/>
    <xf numFmtId="0" fontId="2" fillId="0" borderId="1" xfId="0" applyFont="1" applyBorder="1"/>
    <xf numFmtId="0" fontId="2" fillId="0" borderId="0" xfId="0" applyFont="1"/>
    <xf numFmtId="0" fontId="0" fillId="3" borderId="1" xfId="0" applyFill="1" applyBorder="1"/>
    <xf numFmtId="0" fontId="3" fillId="0" borderId="0" xfId="0" applyFont="1"/>
    <xf numFmtId="9" fontId="0" fillId="0" borderId="0" xfId="0" applyNumberFormat="1"/>
    <xf numFmtId="0" fontId="0" fillId="2" borderId="6" xfId="0" applyFill="1" applyBorder="1"/>
    <xf numFmtId="0" fontId="2" fillId="2" borderId="6" xfId="0" applyFont="1" applyFill="1" applyBorder="1"/>
    <xf numFmtId="0" fontId="0" fillId="0" borderId="6" xfId="0" applyBorder="1"/>
    <xf numFmtId="0" fontId="5" fillId="0" borderId="0" xfId="0" applyFont="1"/>
    <xf numFmtId="0" fontId="4" fillId="0" borderId="0" xfId="0" applyFont="1"/>
    <xf numFmtId="0" fontId="0" fillId="4" borderId="6" xfId="0" applyFill="1" applyBorder="1"/>
    <xf numFmtId="0" fontId="0" fillId="0" borderId="6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6" xfId="0" applyFont="1" applyBorder="1"/>
    <xf numFmtId="0" fontId="0" fillId="2" borderId="10" xfId="0" applyFill="1" applyBorder="1"/>
    <xf numFmtId="0" fontId="0" fillId="2" borderId="16" xfId="0" applyFill="1" applyBorder="1"/>
    <xf numFmtId="0" fontId="0" fillId="2" borderId="17" xfId="0" applyFill="1" applyBorder="1"/>
    <xf numFmtId="0" fontId="2" fillId="2" borderId="16" xfId="0" applyFont="1" applyFill="1" applyBorder="1"/>
    <xf numFmtId="0" fontId="0" fillId="0" borderId="17" xfId="0" applyBorder="1"/>
    <xf numFmtId="0" fontId="2" fillId="0" borderId="17" xfId="0" applyFont="1" applyBorder="1"/>
    <xf numFmtId="0" fontId="0" fillId="4" borderId="17" xfId="0" applyFill="1" applyBorder="1"/>
    <xf numFmtId="0" fontId="0" fillId="2" borderId="20" xfId="0" applyFill="1" applyBorder="1"/>
    <xf numFmtId="0" fontId="0" fillId="4" borderId="21" xfId="0" applyFill="1" applyBorder="1"/>
    <xf numFmtId="0" fontId="0" fillId="0" borderId="21" xfId="0" applyBorder="1"/>
    <xf numFmtId="0" fontId="0" fillId="4" borderId="22" xfId="0" applyFill="1" applyBorder="1"/>
    <xf numFmtId="0" fontId="0" fillId="2" borderId="23" xfId="0" applyFill="1" applyBorder="1"/>
    <xf numFmtId="0" fontId="0" fillId="2" borderId="27" xfId="0" applyFill="1" applyBorder="1"/>
    <xf numFmtId="0" fontId="0" fillId="2" borderId="29" xfId="0" applyFill="1" applyBorder="1"/>
    <xf numFmtId="0" fontId="0" fillId="0" borderId="29" xfId="0" applyBorder="1"/>
    <xf numFmtId="0" fontId="2" fillId="2" borderId="27" xfId="0" applyFont="1" applyFill="1" applyBorder="1"/>
    <xf numFmtId="0" fontId="2" fillId="0" borderId="29" xfId="0" applyFont="1" applyBorder="1"/>
    <xf numFmtId="0" fontId="0" fillId="2" borderId="27" xfId="0" applyFill="1" applyBorder="1" applyAlignment="1">
      <alignment wrapText="1"/>
    </xf>
    <xf numFmtId="0" fontId="0" fillId="4" borderId="29" xfId="0" applyFill="1" applyBorder="1"/>
    <xf numFmtId="0" fontId="0" fillId="2" borderId="30" xfId="0" applyFill="1" applyBorder="1" applyAlignment="1">
      <alignment wrapText="1"/>
    </xf>
    <xf numFmtId="0" fontId="0" fillId="4" borderId="31" xfId="0" applyFill="1" applyBorder="1"/>
    <xf numFmtId="0" fontId="0" fillId="0" borderId="31" xfId="0" applyBorder="1"/>
    <xf numFmtId="0" fontId="0" fillId="4" borderId="32" xfId="0" applyFill="1" applyBorder="1"/>
    <xf numFmtId="0" fontId="2" fillId="6" borderId="23" xfId="0" applyFont="1" applyFill="1" applyBorder="1"/>
    <xf numFmtId="0" fontId="2" fillId="6" borderId="24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9" xfId="0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6" borderId="24" xfId="0" applyFill="1" applyBorder="1"/>
    <xf numFmtId="0" fontId="0" fillId="2" borderId="23" xfId="0" applyFill="1" applyBorder="1" applyAlignment="1">
      <alignment wrapText="1"/>
    </xf>
    <xf numFmtId="0" fontId="0" fillId="4" borderId="35" xfId="0" applyFill="1" applyBorder="1"/>
    <xf numFmtId="0" fontId="2" fillId="0" borderId="3" xfId="0" applyFont="1" applyBorder="1"/>
    <xf numFmtId="0" fontId="0" fillId="4" borderId="3" xfId="0" applyFill="1" applyBorder="1"/>
    <xf numFmtId="0" fontId="2" fillId="0" borderId="5" xfId="0" applyFont="1" applyBorder="1"/>
    <xf numFmtId="0" fontId="0" fillId="4" borderId="5" xfId="0" applyFill="1" applyBorder="1"/>
    <xf numFmtId="0" fontId="0" fillId="0" borderId="35" xfId="0" applyBorder="1"/>
    <xf numFmtId="0" fontId="0" fillId="0" borderId="34" xfId="0" applyBorder="1"/>
    <xf numFmtId="0" fontId="0" fillId="3" borderId="6" xfId="0" applyFill="1" applyBorder="1"/>
    <xf numFmtId="0" fontId="2" fillId="2" borderId="27" xfId="0" applyFont="1" applyFill="1" applyBorder="1" applyAlignment="1">
      <alignment vertical="top"/>
    </xf>
    <xf numFmtId="0" fontId="2" fillId="2" borderId="6" xfId="0" applyFont="1" applyFill="1" applyBorder="1" applyAlignment="1">
      <alignment wrapText="1"/>
    </xf>
    <xf numFmtId="0" fontId="2" fillId="4" borderId="6" xfId="0" applyFont="1" applyFill="1" applyBorder="1"/>
    <xf numFmtId="0" fontId="2" fillId="4" borderId="29" xfId="0" applyFont="1" applyFill="1" applyBorder="1"/>
    <xf numFmtId="0" fontId="2" fillId="2" borderId="30" xfId="0" applyFont="1" applyFill="1" applyBorder="1"/>
    <xf numFmtId="0" fontId="2" fillId="4" borderId="31" xfId="0" applyFont="1" applyFill="1" applyBorder="1"/>
    <xf numFmtId="0" fontId="2" fillId="0" borderId="31" xfId="0" applyFont="1" applyBorder="1"/>
    <xf numFmtId="0" fontId="2" fillId="4" borderId="32" xfId="0" applyFont="1" applyFill="1" applyBorder="1"/>
    <xf numFmtId="0" fontId="2" fillId="2" borderId="18" xfId="0" applyFont="1" applyFill="1" applyBorder="1"/>
    <xf numFmtId="0" fontId="2" fillId="2" borderId="2" xfId="0" applyFont="1" applyFill="1" applyBorder="1"/>
    <xf numFmtId="0" fontId="2" fillId="2" borderId="19" xfId="0" applyFont="1" applyFill="1" applyBorder="1"/>
    <xf numFmtId="0" fontId="0" fillId="0" borderId="27" xfId="0" applyBorder="1" applyAlignment="1">
      <alignment horizontal="center" vertical="top" wrapText="1"/>
    </xf>
    <xf numFmtId="0" fontId="0" fillId="0" borderId="27" xfId="0" applyBorder="1" applyAlignment="1">
      <alignment horizontal="center" vertical="top"/>
    </xf>
    <xf numFmtId="0" fontId="0" fillId="3" borderId="24" xfId="0" applyFill="1" applyBorder="1" applyAlignment="1">
      <alignment horizontal="left"/>
    </xf>
    <xf numFmtId="0" fontId="0" fillId="3" borderId="33" xfId="0" applyFill="1" applyBorder="1" applyAlignment="1">
      <alignment horizontal="left"/>
    </xf>
    <xf numFmtId="9" fontId="0" fillId="0" borderId="24" xfId="0" applyNumberFormat="1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wrapText="1"/>
    </xf>
    <xf numFmtId="0" fontId="2" fillId="2" borderId="29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29" xfId="0" applyFill="1" applyBorder="1" applyAlignment="1">
      <alignment horizontal="left"/>
    </xf>
    <xf numFmtId="9" fontId="0" fillId="0" borderId="6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5" borderId="14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9" fontId="0" fillId="0" borderId="11" xfId="0" applyNumberFormat="1" applyBorder="1" applyAlignment="1">
      <alignment horizontal="left"/>
    </xf>
    <xf numFmtId="9" fontId="0" fillId="0" borderId="12" xfId="0" applyNumberFormat="1" applyBorder="1" applyAlignment="1">
      <alignment horizontal="left"/>
    </xf>
    <xf numFmtId="9" fontId="0" fillId="0" borderId="13" xfId="0" applyNumberFormat="1" applyBorder="1" applyAlignment="1">
      <alignment horizontal="left"/>
    </xf>
    <xf numFmtId="9" fontId="0" fillId="0" borderId="3" xfId="0" applyNumberFormat="1" applyBorder="1" applyAlignment="1">
      <alignment horizontal="left"/>
    </xf>
    <xf numFmtId="9" fontId="0" fillId="0" borderId="4" xfId="0" applyNumberFormat="1" applyBorder="1" applyAlignment="1">
      <alignment horizontal="left"/>
    </xf>
    <xf numFmtId="9" fontId="0" fillId="0" borderId="5" xfId="0" applyNumberForma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9" fontId="0" fillId="0" borderId="36" xfId="0" applyNumberFormat="1" applyBorder="1" applyAlignment="1">
      <alignment horizontal="left"/>
    </xf>
    <xf numFmtId="9" fontId="0" fillId="0" borderId="37" xfId="0" applyNumberFormat="1" applyBorder="1" applyAlignment="1">
      <alignment horizontal="left"/>
    </xf>
    <xf numFmtId="9" fontId="0" fillId="0" borderId="7" xfId="0" applyNumberFormat="1" applyBorder="1" applyAlignment="1">
      <alignment horizontal="left"/>
    </xf>
    <xf numFmtId="9" fontId="0" fillId="0" borderId="8" xfId="0" applyNumberFormat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8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DC59-657E-4B2A-BCAB-F7E9B5271E59}">
  <dimension ref="A2:A8"/>
  <sheetViews>
    <sheetView workbookViewId="0">
      <selection activeCell="E9" sqref="A1:E9"/>
    </sheetView>
  </sheetViews>
  <sheetFormatPr baseColWidth="10" defaultRowHeight="15" x14ac:dyDescent="0.25"/>
  <sheetData>
    <row r="2" spans="1:1" x14ac:dyDescent="0.25">
      <c r="A2" t="s">
        <v>0</v>
      </c>
    </row>
    <row r="4" spans="1:1" x14ac:dyDescent="0.25">
      <c r="A4" t="s">
        <v>1</v>
      </c>
    </row>
    <row r="7" spans="1:1" x14ac:dyDescent="0.25">
      <c r="A7" t="s">
        <v>2</v>
      </c>
    </row>
    <row r="8" spans="1:1" x14ac:dyDescent="0.25">
      <c r="A8" t="s">
        <v>51</v>
      </c>
    </row>
  </sheetData>
  <pageMargins left="0.7" right="0.7" top="0.78740157499999996" bottom="0.78740157499999996" header="0.3" footer="0.3"/>
  <pageSetup orientation="portrait" r:id="rId1"/>
  <headerFooter>
    <oddHeader>&amp;L&amp;"Arial"&amp;8&amp;K000000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4A0C-D2FF-43D8-BB25-3E7171764025}">
  <sheetPr>
    <tabColor theme="7"/>
    <pageSetUpPr fitToPage="1"/>
  </sheetPr>
  <dimension ref="B2:I25"/>
  <sheetViews>
    <sheetView zoomScale="175" zoomScaleNormal="175" workbookViewId="0">
      <selection activeCell="B16" sqref="B16"/>
    </sheetView>
  </sheetViews>
  <sheetFormatPr baseColWidth="10" defaultRowHeight="15" x14ac:dyDescent="0.25"/>
  <cols>
    <col min="1" max="1" width="2.5703125" customWidth="1"/>
    <col min="2" max="2" width="31.140625" customWidth="1"/>
    <col min="3" max="3" width="11.42578125" customWidth="1"/>
  </cols>
  <sheetData>
    <row r="2" spans="2:9" ht="24" x14ac:dyDescent="0.4">
      <c r="B2" s="9" t="s">
        <v>3</v>
      </c>
      <c r="C2" s="9"/>
    </row>
    <row r="5" spans="2:9" x14ac:dyDescent="0.25">
      <c r="B5" s="43" t="s">
        <v>37</v>
      </c>
      <c r="C5" s="44" t="s">
        <v>12</v>
      </c>
      <c r="D5" s="44" t="s">
        <v>13</v>
      </c>
      <c r="E5" s="44" t="s">
        <v>14</v>
      </c>
      <c r="F5" s="45" t="s">
        <v>15</v>
      </c>
    </row>
    <row r="6" spans="2:9" x14ac:dyDescent="0.25">
      <c r="B6" s="46" t="s">
        <v>81</v>
      </c>
      <c r="C6" s="17">
        <v>80</v>
      </c>
      <c r="D6" s="17">
        <v>80</v>
      </c>
      <c r="E6" s="17">
        <v>100</v>
      </c>
      <c r="F6" s="47">
        <v>100</v>
      </c>
      <c r="I6" s="10">
        <v>1</v>
      </c>
    </row>
    <row r="7" spans="2:9" ht="15" customHeight="1" x14ac:dyDescent="0.25">
      <c r="B7" s="46" t="s">
        <v>38</v>
      </c>
      <c r="C7" s="17">
        <v>80</v>
      </c>
      <c r="D7" s="17">
        <v>80</v>
      </c>
      <c r="E7" s="17">
        <v>100</v>
      </c>
      <c r="F7" s="47">
        <v>100</v>
      </c>
      <c r="I7" s="10"/>
    </row>
    <row r="8" spans="2:9" x14ac:dyDescent="0.25">
      <c r="B8" s="35" t="s">
        <v>39</v>
      </c>
      <c r="C8" s="18">
        <f>C6*'5.2.2.2'!$I$20</f>
        <v>80</v>
      </c>
      <c r="D8" s="18">
        <f>D6*'5.2.2.2'!$I$20</f>
        <v>80</v>
      </c>
      <c r="E8" s="18">
        <f>E6*'5.2.2.2'!$I$20</f>
        <v>100</v>
      </c>
      <c r="F8" s="48">
        <f>F6*'5.2.2.2'!$I$20</f>
        <v>100</v>
      </c>
    </row>
    <row r="9" spans="2:9" x14ac:dyDescent="0.25">
      <c r="B9" s="49" t="s">
        <v>40</v>
      </c>
      <c r="C9" s="50">
        <f>C7-C6</f>
        <v>0</v>
      </c>
      <c r="D9" s="50">
        <f t="shared" ref="D9:F9" si="0">D7-D6</f>
        <v>0</v>
      </c>
      <c r="E9" s="50">
        <f t="shared" si="0"/>
        <v>0</v>
      </c>
      <c r="F9" s="51">
        <f t="shared" si="0"/>
        <v>0</v>
      </c>
    </row>
    <row r="11" spans="2:9" x14ac:dyDescent="0.25">
      <c r="C11" t="s">
        <v>43</v>
      </c>
    </row>
    <row r="16" spans="2:9" ht="24" x14ac:dyDescent="0.4">
      <c r="B16" s="9" t="s">
        <v>46</v>
      </c>
      <c r="C16" s="9"/>
    </row>
    <row r="19" spans="2:9" x14ac:dyDescent="0.25">
      <c r="B19" s="43" t="s">
        <v>68</v>
      </c>
      <c r="C19" s="44" t="s">
        <v>12</v>
      </c>
      <c r="D19" s="44" t="s">
        <v>13</v>
      </c>
      <c r="E19" s="44" t="s">
        <v>14</v>
      </c>
      <c r="F19" s="45" t="s">
        <v>15</v>
      </c>
    </row>
    <row r="20" spans="2:9" x14ac:dyDescent="0.25">
      <c r="B20" s="46" t="s">
        <v>69</v>
      </c>
      <c r="C20" s="17">
        <v>80</v>
      </c>
      <c r="D20" s="17">
        <v>80</v>
      </c>
      <c r="E20" s="17">
        <v>100</v>
      </c>
      <c r="F20" s="47">
        <v>100</v>
      </c>
      <c r="I20" s="10">
        <v>1</v>
      </c>
    </row>
    <row r="21" spans="2:9" x14ac:dyDescent="0.25">
      <c r="B21" s="46" t="s">
        <v>38</v>
      </c>
      <c r="C21" s="17">
        <v>360</v>
      </c>
      <c r="D21" s="17">
        <v>0</v>
      </c>
      <c r="E21" s="17">
        <v>0</v>
      </c>
      <c r="F21" s="47">
        <v>0</v>
      </c>
      <c r="I21" s="10"/>
    </row>
    <row r="22" spans="2:9" x14ac:dyDescent="0.25">
      <c r="B22" s="35" t="s">
        <v>39</v>
      </c>
      <c r="C22" s="18">
        <f>C20*'5.2.2.2'!$I$20</f>
        <v>80</v>
      </c>
      <c r="D22" s="18">
        <f>D20*'5.2.2.2'!$I$20</f>
        <v>80</v>
      </c>
      <c r="E22" s="18">
        <f>E20*'5.2.2.2'!$I$20</f>
        <v>100</v>
      </c>
      <c r="F22" s="48">
        <f>F20*'5.2.2.2'!$I$20</f>
        <v>100</v>
      </c>
    </row>
    <row r="23" spans="2:9" x14ac:dyDescent="0.25">
      <c r="B23" s="49" t="s">
        <v>70</v>
      </c>
      <c r="C23" s="50">
        <f>C21-C20</f>
        <v>280</v>
      </c>
      <c r="D23" s="50">
        <f>C23+D21-D20</f>
        <v>200</v>
      </c>
      <c r="E23" s="50">
        <f t="shared" ref="E23:F23" si="1">D23+E21-E20</f>
        <v>100</v>
      </c>
      <c r="F23" s="51">
        <f t="shared" si="1"/>
        <v>0</v>
      </c>
    </row>
    <row r="25" spans="2:9" x14ac:dyDescent="0.25">
      <c r="C25" t="s">
        <v>43</v>
      </c>
    </row>
  </sheetData>
  <pageMargins left="0.7" right="0.7" top="0.78740157499999996" bottom="0.78740157499999996" header="0.3" footer="0.3"/>
  <pageSetup paperSize="9" orientation="portrait" r:id="rId1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6FA7-F237-4477-B656-FB8922013A5A}">
  <sheetPr>
    <tabColor theme="7"/>
    <pageSetUpPr fitToPage="1"/>
  </sheetPr>
  <dimension ref="B2:I26"/>
  <sheetViews>
    <sheetView zoomScale="130" zoomScaleNormal="130" workbookViewId="0">
      <selection activeCell="B19" sqref="B19:F24"/>
    </sheetView>
  </sheetViews>
  <sheetFormatPr baseColWidth="10" defaultRowHeight="15" x14ac:dyDescent="0.25"/>
  <cols>
    <col min="1" max="1" width="3.85546875" customWidth="1"/>
    <col min="2" max="2" width="38.42578125" customWidth="1"/>
    <col min="3" max="3" width="11.42578125" customWidth="1"/>
  </cols>
  <sheetData>
    <row r="2" spans="2:9" ht="24" x14ac:dyDescent="0.4">
      <c r="B2" s="9" t="s">
        <v>45</v>
      </c>
      <c r="C2" s="9"/>
    </row>
    <row r="5" spans="2:9" x14ac:dyDescent="0.25">
      <c r="B5" s="43" t="s">
        <v>68</v>
      </c>
      <c r="C5" s="44" t="s">
        <v>12</v>
      </c>
      <c r="D5" s="44" t="s">
        <v>13</v>
      </c>
      <c r="E5" s="44" t="s">
        <v>14</v>
      </c>
      <c r="F5" s="45" t="s">
        <v>15</v>
      </c>
    </row>
    <row r="6" spans="2:9" x14ac:dyDescent="0.25">
      <c r="B6" s="46" t="s">
        <v>69</v>
      </c>
      <c r="C6" s="17">
        <v>80</v>
      </c>
      <c r="D6" s="17">
        <v>80</v>
      </c>
      <c r="E6" s="17">
        <v>100</v>
      </c>
      <c r="F6" s="47">
        <v>100</v>
      </c>
      <c r="I6" s="10">
        <v>1</v>
      </c>
    </row>
    <row r="7" spans="2:9" x14ac:dyDescent="0.25">
      <c r="B7" s="46" t="s">
        <v>38</v>
      </c>
      <c r="C7" s="17">
        <v>80</v>
      </c>
      <c r="D7" s="17">
        <v>200</v>
      </c>
      <c r="E7" s="17">
        <v>100</v>
      </c>
      <c r="F7" s="47">
        <v>100</v>
      </c>
      <c r="I7" s="10"/>
    </row>
    <row r="8" spans="2:9" x14ac:dyDescent="0.25">
      <c r="B8" s="35" t="s">
        <v>39</v>
      </c>
      <c r="C8" s="18">
        <f>C6*$I$20</f>
        <v>80</v>
      </c>
      <c r="D8" s="18">
        <f>D6*$I$20</f>
        <v>80</v>
      </c>
      <c r="E8" s="18">
        <f>E6*$I$20</f>
        <v>100</v>
      </c>
      <c r="F8" s="48">
        <f>F6*$I$20</f>
        <v>100</v>
      </c>
    </row>
    <row r="9" spans="2:9" x14ac:dyDescent="0.25">
      <c r="B9" s="35" t="s">
        <v>76</v>
      </c>
      <c r="C9" s="18">
        <f>C7-C8</f>
        <v>0</v>
      </c>
      <c r="D9" s="18">
        <f t="shared" ref="D9" si="0">D7-D8</f>
        <v>120</v>
      </c>
      <c r="E9" s="18">
        <f t="shared" ref="E9" si="1">E7-E8</f>
        <v>0</v>
      </c>
      <c r="F9" s="48">
        <f t="shared" ref="F9" si="2">F7-F8</f>
        <v>0</v>
      </c>
    </row>
    <row r="10" spans="2:9" x14ac:dyDescent="0.25">
      <c r="B10" s="49" t="s">
        <v>70</v>
      </c>
      <c r="C10" s="50">
        <f>C8+C9-C6</f>
        <v>0</v>
      </c>
      <c r="D10" s="50">
        <f>C10+D8+D9-D6</f>
        <v>120</v>
      </c>
      <c r="E10" s="50">
        <f t="shared" ref="E10:F10" si="3">D10+E8+E9-E6</f>
        <v>120</v>
      </c>
      <c r="F10" s="51">
        <f t="shared" si="3"/>
        <v>120</v>
      </c>
    </row>
    <row r="12" spans="2:9" x14ac:dyDescent="0.25">
      <c r="C12" t="s">
        <v>43</v>
      </c>
    </row>
    <row r="16" spans="2:9" ht="24" x14ac:dyDescent="0.4">
      <c r="B16" s="9" t="s">
        <v>44</v>
      </c>
      <c r="C16" s="9"/>
    </row>
    <row r="19" spans="2:9" x14ac:dyDescent="0.25">
      <c r="B19" s="43" t="s">
        <v>68</v>
      </c>
      <c r="C19" s="44" t="s">
        <v>12</v>
      </c>
      <c r="D19" s="44" t="s">
        <v>13</v>
      </c>
      <c r="E19" s="44" t="s">
        <v>14</v>
      </c>
      <c r="F19" s="45" t="s">
        <v>15</v>
      </c>
    </row>
    <row r="20" spans="2:9" x14ac:dyDescent="0.25">
      <c r="B20" s="46" t="s">
        <v>69</v>
      </c>
      <c r="C20" s="17">
        <v>80</v>
      </c>
      <c r="D20" s="17">
        <v>80</v>
      </c>
      <c r="E20" s="17">
        <v>100</v>
      </c>
      <c r="F20" s="47">
        <v>100</v>
      </c>
      <c r="I20" s="10">
        <v>1</v>
      </c>
    </row>
    <row r="21" spans="2:9" x14ac:dyDescent="0.25">
      <c r="B21" s="46" t="s">
        <v>38</v>
      </c>
      <c r="C21" s="17">
        <v>90</v>
      </c>
      <c r="D21" s="17">
        <v>75</v>
      </c>
      <c r="E21" s="17">
        <v>105</v>
      </c>
      <c r="F21" s="47">
        <v>105</v>
      </c>
      <c r="I21" s="10"/>
    </row>
    <row r="22" spans="2:9" x14ac:dyDescent="0.25">
      <c r="B22" s="35" t="s">
        <v>39</v>
      </c>
      <c r="C22" s="18">
        <f>C20*$I$20</f>
        <v>80</v>
      </c>
      <c r="D22" s="18">
        <v>80</v>
      </c>
      <c r="E22" s="18">
        <f>E20*$I$20</f>
        <v>100</v>
      </c>
      <c r="F22" s="48">
        <f>F20*$I$20</f>
        <v>100</v>
      </c>
    </row>
    <row r="23" spans="2:9" x14ac:dyDescent="0.25">
      <c r="B23" s="35" t="s">
        <v>76</v>
      </c>
      <c r="C23" s="18">
        <f>C21-C22</f>
        <v>10</v>
      </c>
      <c r="D23" s="18">
        <v>0</v>
      </c>
      <c r="E23" s="18">
        <f t="shared" ref="E23:F23" si="4">E21-E22</f>
        <v>5</v>
      </c>
      <c r="F23" s="48">
        <f t="shared" si="4"/>
        <v>5</v>
      </c>
    </row>
    <row r="24" spans="2:9" x14ac:dyDescent="0.25">
      <c r="B24" s="49" t="s">
        <v>70</v>
      </c>
      <c r="C24" s="50">
        <f>C21-C20</f>
        <v>10</v>
      </c>
      <c r="D24" s="50">
        <f>C24+D21-D20</f>
        <v>5</v>
      </c>
      <c r="E24" s="50">
        <f t="shared" ref="E24:F24" si="5">D24+E21-E20</f>
        <v>10</v>
      </c>
      <c r="F24" s="51">
        <f t="shared" si="5"/>
        <v>15</v>
      </c>
    </row>
    <row r="26" spans="2:9" x14ac:dyDescent="0.25">
      <c r="C26" t="s">
        <v>43</v>
      </c>
    </row>
  </sheetData>
  <pageMargins left="0.7" right="0.7" top="0.78740157499999996" bottom="0.78740157499999996" header="0.3" footer="0.3"/>
  <pageSetup paperSize="9" orientation="portrait" r:id="rId1"/>
  <headerFooter>
    <oddHeader>&amp;L&amp;"Arial"&amp;8&amp;K000000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6163-4754-4335-87E0-9BBF443B897A}">
  <sheetPr>
    <tabColor theme="7"/>
    <pageSetUpPr fitToPage="1"/>
  </sheetPr>
  <dimension ref="B2:J15"/>
  <sheetViews>
    <sheetView zoomScale="130" zoomScaleNormal="130" workbookViewId="0">
      <selection activeCell="B19" sqref="B19"/>
    </sheetView>
  </sheetViews>
  <sheetFormatPr baseColWidth="10" defaultRowHeight="15" x14ac:dyDescent="0.25"/>
  <cols>
    <col min="1" max="1" width="3.85546875" customWidth="1"/>
    <col min="2" max="2" width="24.85546875" customWidth="1"/>
    <col min="3" max="3" width="38.28515625" customWidth="1"/>
  </cols>
  <sheetData>
    <row r="2" spans="2:10" ht="24" x14ac:dyDescent="0.4">
      <c r="B2" s="9" t="s">
        <v>36</v>
      </c>
      <c r="C2" s="9"/>
    </row>
    <row r="5" spans="2:10" x14ac:dyDescent="0.25">
      <c r="B5" s="43" t="s">
        <v>68</v>
      </c>
      <c r="C5" s="52"/>
      <c r="D5" s="44" t="s">
        <v>12</v>
      </c>
      <c r="E5" s="44" t="s">
        <v>13</v>
      </c>
      <c r="F5" s="44" t="s">
        <v>14</v>
      </c>
      <c r="G5" s="45" t="s">
        <v>15</v>
      </c>
    </row>
    <row r="6" spans="2:10" x14ac:dyDescent="0.25">
      <c r="B6" s="46" t="s">
        <v>69</v>
      </c>
      <c r="C6" s="13"/>
      <c r="D6" s="17">
        <v>80</v>
      </c>
      <c r="E6" s="17">
        <v>80</v>
      </c>
      <c r="F6" s="17">
        <v>100</v>
      </c>
      <c r="G6" s="47">
        <v>100</v>
      </c>
      <c r="J6" s="10">
        <v>0.6</v>
      </c>
    </row>
    <row r="7" spans="2:10" x14ac:dyDescent="0.25">
      <c r="B7" s="73" t="s">
        <v>41</v>
      </c>
      <c r="C7" s="13" t="s">
        <v>38</v>
      </c>
      <c r="D7" s="17">
        <v>60</v>
      </c>
      <c r="E7" s="17">
        <v>60</v>
      </c>
      <c r="F7" s="17">
        <v>60</v>
      </c>
      <c r="G7" s="47">
        <v>60</v>
      </c>
      <c r="J7" s="10">
        <v>0.4</v>
      </c>
    </row>
    <row r="8" spans="2:10" x14ac:dyDescent="0.25">
      <c r="B8" s="74"/>
      <c r="C8" s="12" t="s">
        <v>39</v>
      </c>
      <c r="D8" s="18">
        <f>D6*$J$6</f>
        <v>48</v>
      </c>
      <c r="E8" s="18">
        <f t="shared" ref="E8:G8" si="0">E6*$J$6</f>
        <v>48</v>
      </c>
      <c r="F8" s="18">
        <f t="shared" si="0"/>
        <v>60</v>
      </c>
      <c r="G8" s="48">
        <f t="shared" si="0"/>
        <v>60</v>
      </c>
    </row>
    <row r="9" spans="2:10" x14ac:dyDescent="0.25">
      <c r="B9" s="74"/>
      <c r="C9" s="12" t="s">
        <v>76</v>
      </c>
      <c r="D9" s="18">
        <f>D7-D8</f>
        <v>12</v>
      </c>
      <c r="E9" s="18">
        <f t="shared" ref="E9" si="1">E7-E8</f>
        <v>12</v>
      </c>
      <c r="F9" s="18">
        <f t="shared" ref="F9" si="2">F7-F8</f>
        <v>0</v>
      </c>
      <c r="G9" s="48">
        <f t="shared" ref="G9" si="3">G7-G8</f>
        <v>0</v>
      </c>
    </row>
    <row r="10" spans="2:10" x14ac:dyDescent="0.25">
      <c r="B10" s="73" t="s">
        <v>42</v>
      </c>
      <c r="C10" s="13" t="s">
        <v>38</v>
      </c>
      <c r="D10" s="17">
        <v>40</v>
      </c>
      <c r="E10" s="17">
        <v>40</v>
      </c>
      <c r="F10" s="17">
        <v>40</v>
      </c>
      <c r="G10" s="47">
        <v>40</v>
      </c>
    </row>
    <row r="11" spans="2:10" x14ac:dyDescent="0.25">
      <c r="B11" s="74"/>
      <c r="C11" s="12" t="s">
        <v>39</v>
      </c>
      <c r="D11" s="18">
        <f>D6*$J$7</f>
        <v>32</v>
      </c>
      <c r="E11" s="18">
        <f t="shared" ref="E11:G11" si="4">E6*$J$7</f>
        <v>32</v>
      </c>
      <c r="F11" s="18">
        <f t="shared" si="4"/>
        <v>40</v>
      </c>
      <c r="G11" s="48">
        <f t="shared" si="4"/>
        <v>40</v>
      </c>
    </row>
    <row r="12" spans="2:10" x14ac:dyDescent="0.25">
      <c r="B12" s="74"/>
      <c r="C12" s="12" t="s">
        <v>76</v>
      </c>
      <c r="D12" s="18">
        <f>D10-D11</f>
        <v>8</v>
      </c>
      <c r="E12" s="18">
        <f t="shared" ref="E12" si="5">E10-E11</f>
        <v>8</v>
      </c>
      <c r="F12" s="18">
        <f t="shared" ref="F12" si="6">F10-F11</f>
        <v>0</v>
      </c>
      <c r="G12" s="48">
        <f t="shared" ref="G12" si="7">G10-G11</f>
        <v>0</v>
      </c>
    </row>
    <row r="13" spans="2:10" x14ac:dyDescent="0.25">
      <c r="B13" s="49" t="s">
        <v>70</v>
      </c>
      <c r="C13" s="41"/>
      <c r="D13" s="50">
        <f>D8+D9+D11+D12-D6</f>
        <v>20</v>
      </c>
      <c r="E13" s="50">
        <f>D13+E8+E9+E11+E12-E6</f>
        <v>40</v>
      </c>
      <c r="F13" s="50">
        <f t="shared" ref="F13:G13" si="8">E13+F8+F9+F11+F12-F6</f>
        <v>40</v>
      </c>
      <c r="G13" s="51">
        <f t="shared" si="8"/>
        <v>40</v>
      </c>
    </row>
    <row r="15" spans="2:10" x14ac:dyDescent="0.25">
      <c r="D15" t="s">
        <v>43</v>
      </c>
    </row>
  </sheetData>
  <mergeCells count="2">
    <mergeCell ref="B7:B9"/>
    <mergeCell ref="B10:B12"/>
  </mergeCells>
  <pageMargins left="0.7" right="0.7" top="0.78740157499999996" bottom="0.78740157499999996" header="0.3" footer="0.3"/>
  <pageSetup paperSize="9" scale="81" orientation="portrait" r:id="rId1"/>
  <headerFooter>
    <oddHeader>&amp;L&amp;"Arial"&amp;8&amp;K000000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D73D-C957-4B28-B913-B016C0AC8B51}">
  <sheetPr>
    <tabColor theme="7"/>
    <pageSetUpPr fitToPage="1"/>
  </sheetPr>
  <dimension ref="B2:M19"/>
  <sheetViews>
    <sheetView zoomScale="115" zoomScaleNormal="115" workbookViewId="0">
      <selection activeCell="L7" sqref="L7:M7"/>
    </sheetView>
  </sheetViews>
  <sheetFormatPr baseColWidth="10" defaultRowHeight="15" x14ac:dyDescent="0.25"/>
  <cols>
    <col min="1" max="1" width="3.85546875" customWidth="1"/>
    <col min="2" max="2" width="23.42578125" customWidth="1"/>
    <col min="3" max="3" width="11.42578125" style="15" customWidth="1"/>
  </cols>
  <sheetData>
    <row r="2" spans="2:13" ht="24" x14ac:dyDescent="0.4">
      <c r="B2" s="9" t="s">
        <v>32</v>
      </c>
      <c r="C2" s="14"/>
    </row>
    <row r="5" spans="2:13" ht="30" x14ac:dyDescent="0.25">
      <c r="B5" s="53" t="s">
        <v>62</v>
      </c>
      <c r="C5" s="78">
        <v>1000</v>
      </c>
      <c r="D5" s="78"/>
      <c r="E5" s="78"/>
      <c r="F5" s="77">
        <v>1</v>
      </c>
      <c r="G5" s="77"/>
      <c r="H5" s="75" t="s">
        <v>53</v>
      </c>
      <c r="I5" s="75"/>
      <c r="J5" s="75"/>
      <c r="K5" s="75"/>
      <c r="L5" s="75"/>
      <c r="M5" s="76"/>
    </row>
    <row r="6" spans="2:13" ht="30" x14ac:dyDescent="0.25">
      <c r="B6" s="37" t="s">
        <v>63</v>
      </c>
      <c r="C6" s="86">
        <v>1200</v>
      </c>
      <c r="D6" s="86"/>
      <c r="E6" s="86"/>
      <c r="F6" s="85">
        <v>1</v>
      </c>
      <c r="G6" s="85"/>
      <c r="H6" s="83" t="s">
        <v>28</v>
      </c>
      <c r="I6" s="83"/>
      <c r="J6" s="83"/>
      <c r="K6" s="83"/>
      <c r="L6" s="83"/>
      <c r="M6" s="84"/>
    </row>
    <row r="7" spans="2:13" ht="27.75" customHeight="1" x14ac:dyDescent="0.25">
      <c r="B7" s="62" t="s">
        <v>5</v>
      </c>
      <c r="C7" s="63" t="s">
        <v>33</v>
      </c>
      <c r="D7" s="63" t="s">
        <v>33</v>
      </c>
      <c r="E7" s="63" t="s">
        <v>33</v>
      </c>
      <c r="F7" s="63" t="s">
        <v>33</v>
      </c>
      <c r="G7" s="63" t="s">
        <v>33</v>
      </c>
      <c r="H7" s="79" t="s">
        <v>30</v>
      </c>
      <c r="I7" s="79"/>
      <c r="J7" s="80" t="s">
        <v>33</v>
      </c>
      <c r="K7" s="79"/>
      <c r="L7" s="81" t="s">
        <v>33</v>
      </c>
      <c r="M7" s="82"/>
    </row>
    <row r="8" spans="2:13" x14ac:dyDescent="0.25">
      <c r="B8" s="32"/>
      <c r="C8" s="11" t="s">
        <v>47</v>
      </c>
      <c r="D8" s="11" t="s">
        <v>12</v>
      </c>
      <c r="E8" s="11" t="s">
        <v>13</v>
      </c>
      <c r="F8" s="11" t="s">
        <v>14</v>
      </c>
      <c r="G8" s="11" t="s">
        <v>15</v>
      </c>
      <c r="H8" s="12" t="s">
        <v>18</v>
      </c>
      <c r="I8" s="12" t="s">
        <v>19</v>
      </c>
      <c r="J8" s="12" t="s">
        <v>20</v>
      </c>
      <c r="K8" s="12" t="s">
        <v>21</v>
      </c>
      <c r="L8" s="11" t="s">
        <v>22</v>
      </c>
      <c r="M8" s="33" t="s">
        <v>23</v>
      </c>
    </row>
    <row r="9" spans="2:13" x14ac:dyDescent="0.25">
      <c r="B9" s="32" t="s">
        <v>71</v>
      </c>
      <c r="C9" s="13"/>
      <c r="D9" s="13">
        <v>1200</v>
      </c>
      <c r="E9" s="13">
        <v>1000</v>
      </c>
      <c r="F9" s="13">
        <v>1200</v>
      </c>
      <c r="G9" s="13">
        <v>1000</v>
      </c>
      <c r="H9" s="13">
        <v>1200</v>
      </c>
      <c r="I9" s="13">
        <v>1200</v>
      </c>
      <c r="J9" s="13">
        <v>1000</v>
      </c>
      <c r="K9" s="13">
        <v>1000</v>
      </c>
      <c r="L9" s="13">
        <v>1200</v>
      </c>
      <c r="M9" s="34">
        <v>1200</v>
      </c>
    </row>
    <row r="10" spans="2:13" x14ac:dyDescent="0.25">
      <c r="B10" s="32" t="s">
        <v>34</v>
      </c>
      <c r="C10" s="13"/>
      <c r="D10" s="13">
        <v>1200</v>
      </c>
      <c r="E10" s="13">
        <v>1000</v>
      </c>
      <c r="F10" s="13">
        <v>1200</v>
      </c>
      <c r="G10" s="13">
        <v>1000</v>
      </c>
      <c r="H10" s="13">
        <v>1200</v>
      </c>
      <c r="I10" s="13">
        <v>1200</v>
      </c>
      <c r="J10" s="13">
        <v>1000</v>
      </c>
      <c r="K10" s="61">
        <v>400</v>
      </c>
      <c r="L10" s="13">
        <v>1200</v>
      </c>
      <c r="M10" s="34">
        <v>1200</v>
      </c>
    </row>
    <row r="11" spans="2:13" x14ac:dyDescent="0.25">
      <c r="B11" s="32" t="s">
        <v>64</v>
      </c>
      <c r="C11" s="13"/>
      <c r="D11" s="13">
        <v>1000</v>
      </c>
      <c r="E11" s="13">
        <v>1000</v>
      </c>
      <c r="F11" s="13">
        <v>1000</v>
      </c>
      <c r="G11" s="13">
        <v>1000</v>
      </c>
      <c r="H11" s="13">
        <v>1000</v>
      </c>
      <c r="I11" s="13">
        <v>1000</v>
      </c>
      <c r="J11" s="13">
        <v>1000</v>
      </c>
      <c r="K11" s="13">
        <v>1000</v>
      </c>
      <c r="L11" s="13">
        <v>1000</v>
      </c>
      <c r="M11" s="34">
        <v>1000</v>
      </c>
    </row>
    <row r="12" spans="2:13" s="7" customFormat="1" x14ac:dyDescent="0.25">
      <c r="B12" s="35" t="s">
        <v>67</v>
      </c>
      <c r="C12" s="64">
        <v>0</v>
      </c>
      <c r="D12" s="64">
        <f>C12+D10-D11</f>
        <v>200</v>
      </c>
      <c r="E12" s="64">
        <f>D12+E10-E11</f>
        <v>200</v>
      </c>
      <c r="F12" s="64">
        <f>E12+F10-F11</f>
        <v>400</v>
      </c>
      <c r="G12" s="64">
        <f>F12+G10-G11</f>
        <v>400</v>
      </c>
      <c r="H12" s="19">
        <f>G12+H10-H11</f>
        <v>600</v>
      </c>
      <c r="I12" s="64">
        <f>G12+I10-I11</f>
        <v>600</v>
      </c>
      <c r="J12" s="19">
        <f>H12+J10-J11</f>
        <v>600</v>
      </c>
      <c r="K12" s="64">
        <f t="shared" ref="K12" si="0">J12+K10-K11</f>
        <v>0</v>
      </c>
      <c r="L12" s="19">
        <f>J12+L10-L11</f>
        <v>800</v>
      </c>
      <c r="M12" s="65">
        <f>K12+M10-M11</f>
        <v>200</v>
      </c>
    </row>
    <row r="13" spans="2:13" x14ac:dyDescent="0.25">
      <c r="B13" s="32" t="s">
        <v>35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33"/>
    </row>
    <row r="14" spans="2:13" x14ac:dyDescent="0.25">
      <c r="B14" s="32" t="s">
        <v>65</v>
      </c>
      <c r="C14" s="13">
        <v>1200</v>
      </c>
      <c r="D14" s="13">
        <v>1200</v>
      </c>
      <c r="E14" s="13">
        <v>1200</v>
      </c>
      <c r="F14" s="13">
        <v>1200</v>
      </c>
      <c r="G14" s="13">
        <v>1200</v>
      </c>
      <c r="H14" s="13">
        <v>1200</v>
      </c>
      <c r="I14" s="13">
        <v>0</v>
      </c>
      <c r="J14" s="13">
        <v>1200</v>
      </c>
      <c r="K14" s="13">
        <v>1200</v>
      </c>
      <c r="L14" s="13">
        <v>1200</v>
      </c>
      <c r="M14" s="34">
        <v>1200</v>
      </c>
    </row>
    <row r="15" spans="2:13" s="7" customFormat="1" x14ac:dyDescent="0.25">
      <c r="B15" s="66" t="s">
        <v>66</v>
      </c>
      <c r="C15" s="67">
        <v>0</v>
      </c>
      <c r="D15" s="67">
        <f>C15+C14-D10</f>
        <v>0</v>
      </c>
      <c r="E15" s="67">
        <f t="shared" ref="E15:F15" si="1">D15+D14-E10</f>
        <v>200</v>
      </c>
      <c r="F15" s="67">
        <f t="shared" si="1"/>
        <v>200</v>
      </c>
      <c r="G15" s="67">
        <f>F15+F14-G10</f>
        <v>400</v>
      </c>
      <c r="H15" s="68">
        <f>G15+G14-H10</f>
        <v>400</v>
      </c>
      <c r="I15" s="67">
        <f>H15+H14-I10</f>
        <v>400</v>
      </c>
      <c r="J15" s="68">
        <f>H15+H14-J10</f>
        <v>600</v>
      </c>
      <c r="K15" s="67">
        <f>I15+I14-K10</f>
        <v>0</v>
      </c>
      <c r="L15" s="68">
        <f>J15+J14-L10</f>
        <v>600</v>
      </c>
      <c r="M15" s="69">
        <f>K15+K14-M10</f>
        <v>0</v>
      </c>
    </row>
    <row r="19" spans="3:3" x14ac:dyDescent="0.25">
      <c r="C19" s="15" t="s">
        <v>50</v>
      </c>
    </row>
  </sheetData>
  <mergeCells count="9">
    <mergeCell ref="H5:M5"/>
    <mergeCell ref="F5:G5"/>
    <mergeCell ref="C5:E5"/>
    <mergeCell ref="H7:I7"/>
    <mergeCell ref="J7:K7"/>
    <mergeCell ref="L7:M7"/>
    <mergeCell ref="H6:M6"/>
    <mergeCell ref="F6:G6"/>
    <mergeCell ref="C6:E6"/>
  </mergeCells>
  <phoneticPr fontId="1" type="noConversion"/>
  <pageMargins left="0.7" right="0.7" top="0.78740157499999996" bottom="0.78740157499999996" header="0.3" footer="0.3"/>
  <pageSetup paperSize="9" scale="58" orientation="portrait" r:id="rId1"/>
  <headerFooter>
    <oddHeader>&amp;L&amp;"Arial"&amp;8&amp;K000000 INTERNAL&amp;1#_x000D_</oddHeader>
  </headerFooter>
  <ignoredErrors>
    <ignoredError sqref="K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A39D-FE6F-4EEF-9510-B70AC9AEE4A8}">
  <sheetPr>
    <tabColor theme="7"/>
    <pageSetUpPr fitToPage="1"/>
  </sheetPr>
  <dimension ref="B2:R20"/>
  <sheetViews>
    <sheetView zoomScale="115" zoomScaleNormal="115" workbookViewId="0">
      <selection activeCell="B5" sqref="B5:R20"/>
    </sheetView>
  </sheetViews>
  <sheetFormatPr baseColWidth="10" defaultRowHeight="15" x14ac:dyDescent="0.25"/>
  <cols>
    <col min="1" max="1" width="3.85546875" customWidth="1"/>
    <col min="2" max="2" width="27.85546875" bestFit="1" customWidth="1"/>
  </cols>
  <sheetData>
    <row r="2" spans="2:18" ht="24" x14ac:dyDescent="0.4">
      <c r="B2" s="9" t="s">
        <v>4</v>
      </c>
    </row>
    <row r="5" spans="2:18" x14ac:dyDescent="0.25">
      <c r="B5" s="20" t="s">
        <v>54</v>
      </c>
      <c r="C5" s="93">
        <v>1000</v>
      </c>
      <c r="D5" s="94"/>
      <c r="E5" s="94"/>
      <c r="F5" s="95"/>
      <c r="G5" s="99">
        <v>1</v>
      </c>
      <c r="H5" s="100"/>
      <c r="I5" s="100"/>
      <c r="J5" s="101"/>
      <c r="K5" s="87" t="s">
        <v>52</v>
      </c>
      <c r="L5" s="87"/>
      <c r="M5" s="87"/>
      <c r="N5" s="87"/>
      <c r="O5" s="87"/>
      <c r="P5" s="87"/>
      <c r="Q5" s="87"/>
      <c r="R5" s="88"/>
    </row>
    <row r="6" spans="2:18" x14ac:dyDescent="0.25">
      <c r="B6" s="21" t="s">
        <v>55</v>
      </c>
      <c r="C6" s="96">
        <v>600</v>
      </c>
      <c r="D6" s="97"/>
      <c r="E6" s="97"/>
      <c r="F6" s="98"/>
      <c r="G6" s="102">
        <v>0.6</v>
      </c>
      <c r="H6" s="103"/>
      <c r="I6" s="103"/>
      <c r="J6" s="104"/>
      <c r="K6" s="89" t="s">
        <v>53</v>
      </c>
      <c r="L6" s="89"/>
      <c r="M6" s="89"/>
      <c r="N6" s="89"/>
      <c r="O6" s="89"/>
      <c r="P6" s="89"/>
      <c r="Q6" s="89"/>
      <c r="R6" s="90"/>
    </row>
    <row r="7" spans="2:18" x14ac:dyDescent="0.25">
      <c r="B7" s="21" t="s">
        <v>56</v>
      </c>
      <c r="C7" s="96">
        <v>400</v>
      </c>
      <c r="D7" s="97"/>
      <c r="E7" s="97"/>
      <c r="F7" s="98"/>
      <c r="G7" s="102">
        <v>0.4</v>
      </c>
      <c r="H7" s="103"/>
      <c r="I7" s="103"/>
      <c r="J7" s="104"/>
      <c r="K7" s="91" t="s">
        <v>28</v>
      </c>
      <c r="L7" s="91"/>
      <c r="M7" s="91"/>
      <c r="N7" s="91"/>
      <c r="O7" s="91"/>
      <c r="P7" s="91"/>
      <c r="Q7" s="91"/>
      <c r="R7" s="92"/>
    </row>
    <row r="8" spans="2:18" s="7" customFormat="1" x14ac:dyDescent="0.25">
      <c r="B8" s="70" t="s">
        <v>5</v>
      </c>
      <c r="C8" s="71"/>
      <c r="D8" s="71"/>
      <c r="E8" s="71"/>
      <c r="F8" s="71"/>
      <c r="G8" s="105" t="s">
        <v>83</v>
      </c>
      <c r="H8" s="105"/>
      <c r="I8" s="105" t="s">
        <v>83</v>
      </c>
      <c r="J8" s="105"/>
      <c r="K8" s="105"/>
      <c r="L8" s="105"/>
      <c r="M8" s="105" t="s">
        <v>84</v>
      </c>
      <c r="N8" s="105"/>
      <c r="O8" s="105" t="s">
        <v>84</v>
      </c>
      <c r="P8" s="105"/>
      <c r="Q8" s="71"/>
      <c r="R8" s="72"/>
    </row>
    <row r="9" spans="2:18" x14ac:dyDescent="0.25">
      <c r="B9" s="21"/>
      <c r="C9" s="1" t="s">
        <v>12</v>
      </c>
      <c r="D9" s="1" t="s">
        <v>13</v>
      </c>
      <c r="E9" s="1" t="s">
        <v>14</v>
      </c>
      <c r="F9" s="1" t="s">
        <v>15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  <c r="N9" s="3" t="s">
        <v>25</v>
      </c>
      <c r="O9" s="3" t="s">
        <v>26</v>
      </c>
      <c r="P9" s="3" t="s">
        <v>27</v>
      </c>
      <c r="Q9" s="1" t="s">
        <v>16</v>
      </c>
      <c r="R9" s="22" t="s">
        <v>17</v>
      </c>
    </row>
    <row r="10" spans="2:18" s="7" customFormat="1" x14ac:dyDescent="0.25">
      <c r="B10" s="23" t="s">
        <v>6</v>
      </c>
      <c r="C10" s="6">
        <v>1200</v>
      </c>
      <c r="D10" s="6">
        <v>1000</v>
      </c>
      <c r="E10" s="6">
        <v>1200</v>
      </c>
      <c r="F10" s="6">
        <v>1000</v>
      </c>
      <c r="G10" s="6">
        <v>1200</v>
      </c>
      <c r="H10" s="6">
        <v>1200</v>
      </c>
      <c r="I10" s="6">
        <v>1000</v>
      </c>
      <c r="J10" s="6">
        <v>1000</v>
      </c>
      <c r="K10" s="6">
        <v>1200</v>
      </c>
      <c r="L10" s="6">
        <v>1200</v>
      </c>
      <c r="M10" s="6">
        <v>1000</v>
      </c>
      <c r="N10" s="6">
        <v>1000</v>
      </c>
      <c r="O10" s="6">
        <v>1200</v>
      </c>
      <c r="P10" s="6">
        <v>1200</v>
      </c>
      <c r="Q10" s="6">
        <v>1000</v>
      </c>
      <c r="R10" s="25">
        <v>1200</v>
      </c>
    </row>
    <row r="11" spans="2:18" x14ac:dyDescent="0.25">
      <c r="B11" s="21" t="s">
        <v>72</v>
      </c>
      <c r="C11" s="2">
        <f>C10*$G$6</f>
        <v>720</v>
      </c>
      <c r="D11" s="2">
        <f t="shared" ref="D11" si="0">D10*$G$6</f>
        <v>600</v>
      </c>
      <c r="E11" s="2">
        <f t="shared" ref="E11" si="1">E10*$G$6</f>
        <v>720</v>
      </c>
      <c r="F11" s="2">
        <f t="shared" ref="F11" si="2">F10*$G$6</f>
        <v>600</v>
      </c>
      <c r="G11" s="2">
        <f t="shared" ref="G11" si="3">G10*$G$6</f>
        <v>720</v>
      </c>
      <c r="H11" s="2">
        <v>1100</v>
      </c>
      <c r="I11" s="2">
        <f t="shared" ref="I11" si="4">I10*$G$6</f>
        <v>600</v>
      </c>
      <c r="J11" s="2">
        <f t="shared" ref="J11" si="5">J10*$G$6</f>
        <v>600</v>
      </c>
      <c r="K11" s="2">
        <f t="shared" ref="K11" si="6">K10*$G$6</f>
        <v>720</v>
      </c>
      <c r="L11" s="2">
        <f t="shared" ref="L11" si="7">L10*$G$6</f>
        <v>720</v>
      </c>
      <c r="M11" s="2">
        <f t="shared" ref="M11" si="8">M10*$G$6</f>
        <v>600</v>
      </c>
      <c r="N11" s="2">
        <f t="shared" ref="N11" si="9">N10*$G$6</f>
        <v>600</v>
      </c>
      <c r="O11" s="2">
        <f t="shared" ref="O11" si="10">O10*$G$6</f>
        <v>720</v>
      </c>
      <c r="P11" s="2">
        <f t="shared" ref="P11" si="11">P10*$G$6</f>
        <v>720</v>
      </c>
      <c r="Q11" s="2">
        <f t="shared" ref="Q11" si="12">Q10*$G$6</f>
        <v>600</v>
      </c>
      <c r="R11" s="24">
        <f t="shared" ref="R11" si="13">R10*$G$6</f>
        <v>720</v>
      </c>
    </row>
    <row r="12" spans="2:18" x14ac:dyDescent="0.25">
      <c r="B12" s="21" t="s">
        <v>73</v>
      </c>
      <c r="C12" s="2">
        <f>C10*$G$7</f>
        <v>480</v>
      </c>
      <c r="D12" s="2">
        <f t="shared" ref="D12" si="14">D10*$G$7</f>
        <v>400</v>
      </c>
      <c r="E12" s="2">
        <f t="shared" ref="E12:R12" si="15">E10*$G$7</f>
        <v>480</v>
      </c>
      <c r="F12" s="2">
        <f t="shared" si="15"/>
        <v>400</v>
      </c>
      <c r="G12" s="2">
        <f t="shared" si="15"/>
        <v>480</v>
      </c>
      <c r="H12" s="2">
        <v>480</v>
      </c>
      <c r="I12" s="2">
        <f t="shared" si="15"/>
        <v>400</v>
      </c>
      <c r="J12" s="2">
        <f t="shared" si="15"/>
        <v>400</v>
      </c>
      <c r="K12" s="2">
        <f t="shared" si="15"/>
        <v>480</v>
      </c>
      <c r="L12" s="2">
        <f t="shared" si="15"/>
        <v>480</v>
      </c>
      <c r="M12" s="2">
        <f t="shared" si="15"/>
        <v>400</v>
      </c>
      <c r="N12" s="2">
        <f t="shared" si="15"/>
        <v>400</v>
      </c>
      <c r="O12" s="2">
        <f t="shared" si="15"/>
        <v>480</v>
      </c>
      <c r="P12" s="2">
        <f t="shared" si="15"/>
        <v>480</v>
      </c>
      <c r="Q12" s="2">
        <f t="shared" si="15"/>
        <v>400</v>
      </c>
      <c r="R12" s="24">
        <f t="shared" si="15"/>
        <v>480</v>
      </c>
    </row>
    <row r="13" spans="2:18" x14ac:dyDescent="0.25">
      <c r="B13" s="21" t="s">
        <v>7</v>
      </c>
      <c r="C13" s="2">
        <f>C10*$G$6</f>
        <v>720</v>
      </c>
      <c r="D13" s="2">
        <f t="shared" ref="D13" si="16">D10*$G$6</f>
        <v>600</v>
      </c>
      <c r="E13" s="2">
        <f t="shared" ref="E13:R13" si="17">E10*$G$6</f>
        <v>720</v>
      </c>
      <c r="F13" s="2">
        <f t="shared" si="17"/>
        <v>600</v>
      </c>
      <c r="G13" s="2">
        <f t="shared" si="17"/>
        <v>720</v>
      </c>
      <c r="H13" s="4">
        <v>1100</v>
      </c>
      <c r="I13" s="2">
        <f t="shared" si="17"/>
        <v>600</v>
      </c>
      <c r="J13" s="2">
        <f t="shared" si="17"/>
        <v>600</v>
      </c>
      <c r="K13" s="2">
        <f t="shared" si="17"/>
        <v>720</v>
      </c>
      <c r="L13" s="2">
        <f t="shared" si="17"/>
        <v>720</v>
      </c>
      <c r="M13" s="2">
        <f t="shared" si="17"/>
        <v>600</v>
      </c>
      <c r="N13" s="8">
        <v>200</v>
      </c>
      <c r="O13" s="2">
        <f t="shared" si="17"/>
        <v>720</v>
      </c>
      <c r="P13" s="8">
        <v>220</v>
      </c>
      <c r="Q13" s="2">
        <f t="shared" si="17"/>
        <v>600</v>
      </c>
      <c r="R13" s="24">
        <f t="shared" si="17"/>
        <v>720</v>
      </c>
    </row>
    <row r="14" spans="2:18" x14ac:dyDescent="0.25">
      <c r="B14" s="21" t="s">
        <v>8</v>
      </c>
      <c r="C14" s="2">
        <f>C10*$G$7</f>
        <v>480</v>
      </c>
      <c r="D14" s="2">
        <f t="shared" ref="D14" si="18">D10*$G$7</f>
        <v>400</v>
      </c>
      <c r="E14" s="2">
        <f t="shared" ref="E14:R14" si="19">E10*$G$7</f>
        <v>480</v>
      </c>
      <c r="F14" s="2">
        <f t="shared" si="19"/>
        <v>400</v>
      </c>
      <c r="G14" s="2">
        <f t="shared" si="19"/>
        <v>480</v>
      </c>
      <c r="H14" s="8">
        <v>100</v>
      </c>
      <c r="I14" s="2">
        <f t="shared" si="19"/>
        <v>400</v>
      </c>
      <c r="J14" s="8">
        <v>0</v>
      </c>
      <c r="K14" s="2">
        <f t="shared" si="19"/>
        <v>480</v>
      </c>
      <c r="L14" s="2">
        <f t="shared" si="19"/>
        <v>480</v>
      </c>
      <c r="M14" s="2">
        <f t="shared" si="19"/>
        <v>400</v>
      </c>
      <c r="N14" s="2">
        <f t="shared" si="19"/>
        <v>400</v>
      </c>
      <c r="O14" s="2">
        <f t="shared" si="19"/>
        <v>480</v>
      </c>
      <c r="P14" s="4">
        <v>780</v>
      </c>
      <c r="Q14" s="2">
        <f t="shared" si="19"/>
        <v>400</v>
      </c>
      <c r="R14" s="24">
        <f t="shared" si="19"/>
        <v>480</v>
      </c>
    </row>
    <row r="15" spans="2:18" s="7" customFormat="1" x14ac:dyDescent="0.25">
      <c r="B15" s="23" t="s">
        <v>9</v>
      </c>
      <c r="C15" s="6">
        <f>C16+C17</f>
        <v>1000</v>
      </c>
      <c r="D15" s="6">
        <f t="shared" ref="D15" si="20">D16+D17</f>
        <v>1000</v>
      </c>
      <c r="E15" s="6">
        <f t="shared" ref="E15" si="21">E16+E17</f>
        <v>1000</v>
      </c>
      <c r="F15" s="6">
        <f t="shared" ref="F15" si="22">F16+F17</f>
        <v>1000</v>
      </c>
      <c r="G15" s="6">
        <f t="shared" ref="G15" si="23">G16+G17</f>
        <v>1000</v>
      </c>
      <c r="H15" s="6">
        <f t="shared" ref="H15" si="24">H16+H17</f>
        <v>1000</v>
      </c>
      <c r="I15" s="6">
        <f t="shared" ref="I15" si="25">I16+I17</f>
        <v>1000</v>
      </c>
      <c r="J15" s="6">
        <f t="shared" ref="J15" si="26">J16+J17</f>
        <v>1000</v>
      </c>
      <c r="K15" s="6">
        <f t="shared" ref="K15" si="27">K16+K17</f>
        <v>1000</v>
      </c>
      <c r="L15" s="6">
        <f t="shared" ref="L15" si="28">L16+L17</f>
        <v>1000</v>
      </c>
      <c r="M15" s="6">
        <f t="shared" ref="M15" si="29">M16+M17</f>
        <v>1000</v>
      </c>
      <c r="N15" s="6">
        <f t="shared" ref="N15" si="30">N16+N17</f>
        <v>1000</v>
      </c>
      <c r="O15" s="6">
        <f t="shared" ref="O15" si="31">O16+O17</f>
        <v>1000</v>
      </c>
      <c r="P15" s="6">
        <f t="shared" ref="P15" si="32">P16+P17</f>
        <v>1000</v>
      </c>
      <c r="Q15" s="6">
        <f t="shared" ref="Q15" si="33">Q16+Q17</f>
        <v>1000</v>
      </c>
      <c r="R15" s="25">
        <f t="shared" ref="R15" si="34">R16+R17</f>
        <v>1000</v>
      </c>
    </row>
    <row r="16" spans="2:18" x14ac:dyDescent="0.25">
      <c r="B16" s="21" t="s">
        <v>10</v>
      </c>
      <c r="C16" s="2">
        <v>600</v>
      </c>
      <c r="D16" s="2">
        <v>600</v>
      </c>
      <c r="E16" s="2">
        <v>600</v>
      </c>
      <c r="F16" s="2">
        <v>600</v>
      </c>
      <c r="G16" s="2">
        <v>600</v>
      </c>
      <c r="H16" s="2">
        <v>740</v>
      </c>
      <c r="I16" s="2">
        <v>600</v>
      </c>
      <c r="J16" s="2">
        <v>1000</v>
      </c>
      <c r="K16" s="2">
        <v>600</v>
      </c>
      <c r="L16" s="2">
        <v>600</v>
      </c>
      <c r="M16" s="2">
        <v>600</v>
      </c>
      <c r="N16" s="2">
        <v>520</v>
      </c>
      <c r="O16" s="2">
        <v>600</v>
      </c>
      <c r="P16" s="2">
        <v>220</v>
      </c>
      <c r="Q16" s="2">
        <v>600</v>
      </c>
      <c r="R16" s="24">
        <v>600</v>
      </c>
    </row>
    <row r="17" spans="2:18" x14ac:dyDescent="0.25">
      <c r="B17" s="21" t="s">
        <v>11</v>
      </c>
      <c r="C17" s="2">
        <v>400</v>
      </c>
      <c r="D17" s="2">
        <v>400</v>
      </c>
      <c r="E17" s="2">
        <v>400</v>
      </c>
      <c r="F17" s="2">
        <v>400</v>
      </c>
      <c r="G17" s="2">
        <v>400</v>
      </c>
      <c r="H17" s="2">
        <v>260</v>
      </c>
      <c r="I17" s="2">
        <v>400</v>
      </c>
      <c r="J17" s="2">
        <v>0</v>
      </c>
      <c r="K17" s="2">
        <v>400</v>
      </c>
      <c r="L17" s="2">
        <v>400</v>
      </c>
      <c r="M17" s="60">
        <v>400</v>
      </c>
      <c r="N17" s="60">
        <v>480</v>
      </c>
      <c r="O17" s="60">
        <v>400</v>
      </c>
      <c r="P17" s="2">
        <v>780</v>
      </c>
      <c r="Q17" s="2">
        <v>400</v>
      </c>
      <c r="R17" s="24">
        <v>400</v>
      </c>
    </row>
    <row r="18" spans="2:18" s="7" customFormat="1" x14ac:dyDescent="0.25">
      <c r="B18" s="23" t="s">
        <v>82</v>
      </c>
      <c r="C18" s="6">
        <f>C19+C20</f>
        <v>200</v>
      </c>
      <c r="D18" s="6">
        <f t="shared" ref="D18" si="35">D19+D20</f>
        <v>200</v>
      </c>
      <c r="E18" s="6">
        <f t="shared" ref="E18" si="36">E19+E20</f>
        <v>400</v>
      </c>
      <c r="F18" s="6">
        <f t="shared" ref="F18" si="37">F19+F20</f>
        <v>400</v>
      </c>
      <c r="G18" s="6">
        <f t="shared" ref="G18" si="38">G19+G20</f>
        <v>600</v>
      </c>
      <c r="H18" s="6">
        <f t="shared" ref="H18" si="39">H19+H20</f>
        <v>600</v>
      </c>
      <c r="I18" s="6">
        <f t="shared" ref="I18" si="40">I19+I20</f>
        <v>600</v>
      </c>
      <c r="J18" s="6">
        <f t="shared" ref="J18" si="41">J19+J20</f>
        <v>200</v>
      </c>
      <c r="K18" s="6">
        <f t="shared" ref="K18" si="42">K19+K20</f>
        <v>400</v>
      </c>
      <c r="L18" s="55">
        <f t="shared" ref="L18" si="43">L19+L20</f>
        <v>400</v>
      </c>
      <c r="M18" s="19">
        <f t="shared" ref="M18" si="44">M19+M20</f>
        <v>400</v>
      </c>
      <c r="N18" s="19">
        <f t="shared" ref="N18" si="45">N19+N20</f>
        <v>0</v>
      </c>
      <c r="O18" s="19">
        <f t="shared" ref="O18" si="46">O19+O20</f>
        <v>200</v>
      </c>
      <c r="P18" s="57">
        <f t="shared" ref="P18" si="47">P19+P20</f>
        <v>0</v>
      </c>
      <c r="Q18" s="6">
        <f t="shared" ref="Q18" si="48">Q19+Q20</f>
        <v>0</v>
      </c>
      <c r="R18" s="25">
        <f t="shared" ref="R18" si="49">R19+R20</f>
        <v>200</v>
      </c>
    </row>
    <row r="19" spans="2:18" x14ac:dyDescent="0.25">
      <c r="B19" s="21" t="s">
        <v>57</v>
      </c>
      <c r="C19" s="5">
        <v>120</v>
      </c>
      <c r="D19" s="5">
        <f t="shared" ref="D19:G20" si="50">C19+D13-D16</f>
        <v>120</v>
      </c>
      <c r="E19" s="5">
        <f t="shared" si="50"/>
        <v>240</v>
      </c>
      <c r="F19" s="5">
        <f t="shared" si="50"/>
        <v>240</v>
      </c>
      <c r="G19" s="2">
        <f t="shared" si="50"/>
        <v>360</v>
      </c>
      <c r="H19" s="5">
        <f>F19+H13-H16</f>
        <v>600</v>
      </c>
      <c r="I19" s="2">
        <f>H19+I13-I16</f>
        <v>600</v>
      </c>
      <c r="J19" s="5">
        <f>H19+J13-J16</f>
        <v>200</v>
      </c>
      <c r="K19" s="2">
        <f>J19+K13-K16</f>
        <v>320</v>
      </c>
      <c r="L19" s="56">
        <f>J19+L13-L16</f>
        <v>320</v>
      </c>
      <c r="M19" s="13">
        <f>L19+M13-M16</f>
        <v>320</v>
      </c>
      <c r="N19" s="16">
        <f>L19+N13-N16</f>
        <v>0</v>
      </c>
      <c r="O19" s="13">
        <f>N19+O13-O16</f>
        <v>120</v>
      </c>
      <c r="P19" s="58">
        <f>N19+P13-P16</f>
        <v>0</v>
      </c>
      <c r="Q19" s="5">
        <f>P19+Q13-Q16</f>
        <v>0</v>
      </c>
      <c r="R19" s="26">
        <f>Q19+R13-R16</f>
        <v>120</v>
      </c>
    </row>
    <row r="20" spans="2:18" x14ac:dyDescent="0.25">
      <c r="B20" s="27" t="s">
        <v>58</v>
      </c>
      <c r="C20" s="28">
        <v>80</v>
      </c>
      <c r="D20" s="28">
        <f t="shared" si="50"/>
        <v>80</v>
      </c>
      <c r="E20" s="28">
        <f t="shared" si="50"/>
        <v>160</v>
      </c>
      <c r="F20" s="28">
        <f t="shared" si="50"/>
        <v>160</v>
      </c>
      <c r="G20" s="29">
        <f t="shared" si="50"/>
        <v>240</v>
      </c>
      <c r="H20" s="28">
        <f>F20+H14-H17</f>
        <v>0</v>
      </c>
      <c r="I20" s="29">
        <f>H20+I14-I17</f>
        <v>0</v>
      </c>
      <c r="J20" s="28">
        <f>H20+J14-J17</f>
        <v>0</v>
      </c>
      <c r="K20" s="29">
        <f>J20+K14-K17</f>
        <v>80</v>
      </c>
      <c r="L20" s="28">
        <f>J20+L14-L17</f>
        <v>80</v>
      </c>
      <c r="M20" s="59">
        <f>L20+M14-M17</f>
        <v>80</v>
      </c>
      <c r="N20" s="54">
        <f>L20+N14-N17</f>
        <v>0</v>
      </c>
      <c r="O20" s="59">
        <f>N20+O14-O17</f>
        <v>80</v>
      </c>
      <c r="P20" s="28">
        <f>N20+P14-P17</f>
        <v>0</v>
      </c>
      <c r="Q20" s="28">
        <f t="shared" ref="Q20:R20" si="51">P20+Q14-Q17</f>
        <v>0</v>
      </c>
      <c r="R20" s="30">
        <f t="shared" si="51"/>
        <v>80</v>
      </c>
    </row>
  </sheetData>
  <mergeCells count="14">
    <mergeCell ref="G8:H8"/>
    <mergeCell ref="I8:J8"/>
    <mergeCell ref="M8:N8"/>
    <mergeCell ref="O8:P8"/>
    <mergeCell ref="K8:L8"/>
    <mergeCell ref="K5:R5"/>
    <mergeCell ref="K6:R6"/>
    <mergeCell ref="K7:R7"/>
    <mergeCell ref="C5:F5"/>
    <mergeCell ref="C6:F6"/>
    <mergeCell ref="C7:F7"/>
    <mergeCell ref="G5:J5"/>
    <mergeCell ref="G6:J6"/>
    <mergeCell ref="G7:J7"/>
  </mergeCells>
  <phoneticPr fontId="1" type="noConversion"/>
  <pageMargins left="0.7" right="0.7" top="0.78740157499999996" bottom="0.78740157499999996" header="0.3" footer="0.3"/>
  <pageSetup paperSize="66" orientation="landscape" r:id="rId1"/>
  <headerFooter>
    <oddHeader>&amp;L&amp;"Arial"&amp;8&amp;K000000 INTERNAL&amp;1#_x000D_</oddHeader>
  </headerFooter>
  <ignoredErrors>
    <ignoredError sqref="K19:L19 M19:N19 H19:H20 J19:J20 K20:L20 M20:N20 O20:P20 O19:P19 I19:I2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A127-6C26-4FCB-BFC5-8E55B0342BD1}">
  <sheetPr>
    <tabColor theme="7"/>
    <pageSetUpPr fitToPage="1"/>
  </sheetPr>
  <dimension ref="B2:L18"/>
  <sheetViews>
    <sheetView tabSelected="1" zoomScale="130" zoomScaleNormal="130" workbookViewId="0">
      <selection activeCell="B5" sqref="B5:L16"/>
    </sheetView>
  </sheetViews>
  <sheetFormatPr baseColWidth="10" defaultRowHeight="15" x14ac:dyDescent="0.25"/>
  <cols>
    <col min="1" max="1" width="3.85546875" customWidth="1"/>
    <col min="2" max="2" width="27.85546875" bestFit="1" customWidth="1"/>
  </cols>
  <sheetData>
    <row r="2" spans="2:12" ht="24" x14ac:dyDescent="0.4">
      <c r="B2" s="9" t="s">
        <v>77</v>
      </c>
    </row>
    <row r="5" spans="2:12" x14ac:dyDescent="0.25">
      <c r="B5" s="31" t="s">
        <v>59</v>
      </c>
      <c r="C5" s="106">
        <v>1000</v>
      </c>
      <c r="D5" s="107"/>
      <c r="E5" s="110">
        <f>E7/C7*C5</f>
        <v>0.33333333333333331</v>
      </c>
      <c r="F5" s="111"/>
      <c r="G5" s="115"/>
      <c r="H5" s="115"/>
      <c r="I5" s="115"/>
      <c r="J5" s="115"/>
      <c r="K5" s="115"/>
      <c r="L5" s="116"/>
    </row>
    <row r="6" spans="2:12" x14ac:dyDescent="0.25">
      <c r="B6" s="32" t="s">
        <v>60</v>
      </c>
      <c r="C6" s="108">
        <v>1000</v>
      </c>
      <c r="D6" s="109"/>
      <c r="E6" s="112">
        <f>E7/C7*C6</f>
        <v>0.33333333333333331</v>
      </c>
      <c r="F6" s="113"/>
      <c r="G6" s="117"/>
      <c r="H6" s="117"/>
      <c r="I6" s="117"/>
      <c r="J6" s="117"/>
      <c r="K6" s="117"/>
      <c r="L6" s="118"/>
    </row>
    <row r="7" spans="2:12" x14ac:dyDescent="0.25">
      <c r="B7" s="32" t="s">
        <v>61</v>
      </c>
      <c r="C7" s="108">
        <v>3000</v>
      </c>
      <c r="D7" s="109"/>
      <c r="E7" s="112">
        <v>1</v>
      </c>
      <c r="F7" s="113"/>
      <c r="G7" s="83" t="s">
        <v>28</v>
      </c>
      <c r="H7" s="83"/>
      <c r="I7" s="83"/>
      <c r="J7" s="83"/>
      <c r="K7" s="83"/>
      <c r="L7" s="84"/>
    </row>
    <row r="8" spans="2:12" s="7" customFormat="1" ht="30" x14ac:dyDescent="0.25">
      <c r="B8" s="62" t="s">
        <v>5</v>
      </c>
      <c r="C8" s="63" t="s">
        <v>29</v>
      </c>
      <c r="D8" s="63" t="s">
        <v>29</v>
      </c>
      <c r="E8" s="63" t="s">
        <v>29</v>
      </c>
      <c r="F8" s="63" t="s">
        <v>29</v>
      </c>
      <c r="G8" s="114" t="s">
        <v>30</v>
      </c>
      <c r="H8" s="114"/>
      <c r="I8" s="114" t="s">
        <v>30</v>
      </c>
      <c r="J8" s="114"/>
      <c r="K8" s="81" t="s">
        <v>31</v>
      </c>
      <c r="L8" s="82"/>
    </row>
    <row r="9" spans="2:12" x14ac:dyDescent="0.25">
      <c r="B9" s="32"/>
      <c r="C9" s="11" t="s">
        <v>12</v>
      </c>
      <c r="D9" s="11" t="s">
        <v>13</v>
      </c>
      <c r="E9" s="11" t="s">
        <v>14</v>
      </c>
      <c r="F9" s="11" t="s">
        <v>15</v>
      </c>
      <c r="G9" s="12" t="s">
        <v>18</v>
      </c>
      <c r="H9" s="12" t="s">
        <v>19</v>
      </c>
      <c r="I9" s="12" t="s">
        <v>20</v>
      </c>
      <c r="J9" s="12" t="s">
        <v>21</v>
      </c>
      <c r="K9" s="11" t="s">
        <v>22</v>
      </c>
      <c r="L9" s="33" t="s">
        <v>23</v>
      </c>
    </row>
    <row r="10" spans="2:12" x14ac:dyDescent="0.25">
      <c r="B10" s="32" t="s">
        <v>74</v>
      </c>
      <c r="C10" s="13">
        <v>1000</v>
      </c>
      <c r="D10" s="13">
        <v>1000</v>
      </c>
      <c r="E10" s="13">
        <v>1000</v>
      </c>
      <c r="F10" s="13">
        <v>1000</v>
      </c>
      <c r="G10" s="13">
        <v>1000</v>
      </c>
      <c r="H10" s="13">
        <v>1000</v>
      </c>
      <c r="I10" s="13">
        <v>1000</v>
      </c>
      <c r="J10" s="13">
        <v>1000</v>
      </c>
      <c r="K10" s="13">
        <v>1000</v>
      </c>
      <c r="L10" s="34">
        <v>1000</v>
      </c>
    </row>
    <row r="11" spans="2:12" x14ac:dyDescent="0.25">
      <c r="B11" s="32" t="s">
        <v>75</v>
      </c>
      <c r="C11" s="13">
        <v>1000</v>
      </c>
      <c r="D11" s="13">
        <v>1000</v>
      </c>
      <c r="E11" s="13">
        <v>1000</v>
      </c>
      <c r="F11" s="13">
        <v>1000</v>
      </c>
      <c r="G11" s="13">
        <v>1000</v>
      </c>
      <c r="H11" s="13">
        <v>1000</v>
      </c>
      <c r="I11" s="13">
        <v>1000</v>
      </c>
      <c r="J11" s="13">
        <v>1000</v>
      </c>
      <c r="K11" s="13">
        <v>1000</v>
      </c>
      <c r="L11" s="34">
        <v>1000</v>
      </c>
    </row>
    <row r="12" spans="2:12" x14ac:dyDescent="0.25">
      <c r="B12" s="32" t="s">
        <v>48</v>
      </c>
      <c r="C12" s="13">
        <v>1000</v>
      </c>
      <c r="D12" s="13">
        <v>1000</v>
      </c>
      <c r="E12" s="13">
        <v>1000</v>
      </c>
      <c r="F12" s="13">
        <v>1000</v>
      </c>
      <c r="G12" s="13">
        <v>1000</v>
      </c>
      <c r="H12" s="13">
        <v>1000</v>
      </c>
      <c r="I12" s="13">
        <v>1000</v>
      </c>
      <c r="J12" s="13">
        <v>1000</v>
      </c>
      <c r="K12" s="13">
        <v>1000</v>
      </c>
      <c r="L12" s="34">
        <v>1000</v>
      </c>
    </row>
    <row r="13" spans="2:12" x14ac:dyDescent="0.25">
      <c r="B13" s="32" t="s">
        <v>49</v>
      </c>
      <c r="C13" s="13">
        <v>1000</v>
      </c>
      <c r="D13" s="13">
        <v>1000</v>
      </c>
      <c r="E13" s="13">
        <v>1000</v>
      </c>
      <c r="F13" s="13">
        <v>1000</v>
      </c>
      <c r="G13" s="13">
        <v>1000</v>
      </c>
      <c r="H13" s="13">
        <v>1000</v>
      </c>
      <c r="I13" s="13">
        <v>1000</v>
      </c>
      <c r="J13" s="13">
        <v>1000</v>
      </c>
      <c r="K13" s="13">
        <v>1000</v>
      </c>
      <c r="L13" s="34">
        <v>1000</v>
      </c>
    </row>
    <row r="14" spans="2:12" s="7" customFormat="1" x14ac:dyDescent="0.25">
      <c r="B14" s="35" t="s">
        <v>80</v>
      </c>
      <c r="C14" s="19">
        <f>C15+C16</f>
        <v>1000</v>
      </c>
      <c r="D14" s="19">
        <f t="shared" ref="D14:L14" si="0">D15+D16</f>
        <v>2000</v>
      </c>
      <c r="E14" s="19">
        <f t="shared" si="0"/>
        <v>3000</v>
      </c>
      <c r="F14" s="19">
        <f t="shared" si="0"/>
        <v>4000</v>
      </c>
      <c r="G14" s="19">
        <f t="shared" si="0"/>
        <v>5000</v>
      </c>
      <c r="H14" s="19">
        <f t="shared" si="0"/>
        <v>2000</v>
      </c>
      <c r="I14" s="19">
        <f t="shared" si="0"/>
        <v>3000</v>
      </c>
      <c r="J14" s="19">
        <f t="shared" si="0"/>
        <v>0</v>
      </c>
      <c r="K14" s="19">
        <f t="shared" si="0"/>
        <v>1000</v>
      </c>
      <c r="L14" s="36">
        <f t="shared" si="0"/>
        <v>1000</v>
      </c>
    </row>
    <row r="15" spans="2:12" ht="30" x14ac:dyDescent="0.25">
      <c r="B15" s="37" t="s">
        <v>78</v>
      </c>
      <c r="C15" s="16">
        <v>500</v>
      </c>
      <c r="D15" s="16">
        <v>1000</v>
      </c>
      <c r="E15" s="16">
        <v>1500</v>
      </c>
      <c r="F15" s="16">
        <v>2000</v>
      </c>
      <c r="G15" s="13">
        <v>2500</v>
      </c>
      <c r="H15" s="16">
        <v>1000</v>
      </c>
      <c r="I15" s="13">
        <v>1500</v>
      </c>
      <c r="J15" s="16">
        <v>0</v>
      </c>
      <c r="K15" s="13">
        <v>500</v>
      </c>
      <c r="L15" s="38">
        <v>500</v>
      </c>
    </row>
    <row r="16" spans="2:12" ht="30" x14ac:dyDescent="0.25">
      <c r="B16" s="39" t="s">
        <v>79</v>
      </c>
      <c r="C16" s="40">
        <v>500</v>
      </c>
      <c r="D16" s="40">
        <v>1000</v>
      </c>
      <c r="E16" s="40">
        <v>1500</v>
      </c>
      <c r="F16" s="40">
        <v>2000</v>
      </c>
      <c r="G16" s="41">
        <v>2500</v>
      </c>
      <c r="H16" s="40">
        <v>1000</v>
      </c>
      <c r="I16" s="41">
        <v>1500</v>
      </c>
      <c r="J16" s="40">
        <v>0</v>
      </c>
      <c r="K16" s="41">
        <v>500</v>
      </c>
      <c r="L16" s="42">
        <v>500</v>
      </c>
    </row>
    <row r="18" spans="4:4" x14ac:dyDescent="0.25">
      <c r="D18" s="10"/>
    </row>
  </sheetData>
  <mergeCells count="12">
    <mergeCell ref="G8:H8"/>
    <mergeCell ref="I8:J8"/>
    <mergeCell ref="K8:L8"/>
    <mergeCell ref="G7:L7"/>
    <mergeCell ref="G5:L5"/>
    <mergeCell ref="G6:L6"/>
    <mergeCell ref="C5:D5"/>
    <mergeCell ref="C6:D6"/>
    <mergeCell ref="C7:D7"/>
    <mergeCell ref="E5:F5"/>
    <mergeCell ref="E6:F6"/>
    <mergeCell ref="E7:F7"/>
  </mergeCells>
  <pageMargins left="0.7" right="0.7" top="0.78740157499999996" bottom="0.78740157499999996" header="0.3" footer="0.3"/>
  <pageSetup paperSize="9" scale="61" orientation="portrait" r:id="rId1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7</vt:i4>
      </vt:variant>
    </vt:vector>
  </HeadingPairs>
  <TitlesOfParts>
    <vt:vector size="14" baseType="lpstr">
      <vt:lpstr>Tabelle1</vt:lpstr>
      <vt:lpstr>5.2.2.1</vt:lpstr>
      <vt:lpstr>5.2.2.2</vt:lpstr>
      <vt:lpstr>5.2.2.3</vt:lpstr>
      <vt:lpstr>5.4.2.2</vt:lpstr>
      <vt:lpstr>5.4.3.2</vt:lpstr>
      <vt:lpstr>5.4.4.2</vt:lpstr>
      <vt:lpstr>'5.2.2.1'!Druckbereich</vt:lpstr>
      <vt:lpstr>'5.2.2.2'!Druckbereich</vt:lpstr>
      <vt:lpstr>'5.2.2.3'!Druckbereich</vt:lpstr>
      <vt:lpstr>'5.4.2.2'!Druckbereich</vt:lpstr>
      <vt:lpstr>'5.4.3.2'!Druckbereich</vt:lpstr>
      <vt:lpstr>'5.4.4.2'!Druckbereich</vt:lpstr>
      <vt:lpstr>Tabelle1!Druckbereich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Funfke, Frank (K-DPPP/2)</dc:creator>
  <cp:lastModifiedBy>Vogt, Dr. Mathias (TT-T5)</cp:lastModifiedBy>
  <cp:lastPrinted>2025-10-17T08:11:46Z</cp:lastPrinted>
  <dcterms:created xsi:type="dcterms:W3CDTF">2025-10-14T07:41:47Z</dcterms:created>
  <dcterms:modified xsi:type="dcterms:W3CDTF">2025-10-17T09:23:35Z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a87506-7fda-481d-a14b-4a8fe5add330_Enabled">
    <vt:lpwstr>true</vt:lpwstr>
  </property>
  <property fmtid="{D5CDD505-2E9C-101B-9397-08002B2CF9AE}" pid="3" name="MSIP_Label_eda87506-7fda-481d-a14b-4a8fe5add330_SetDate">
    <vt:lpwstr>2025-10-17T08:08:19Z</vt:lpwstr>
  </property>
  <property fmtid="{D5CDD505-2E9C-101B-9397-08002B2CF9AE}" pid="4" name="MSIP_Label_eda87506-7fda-481d-a14b-4a8fe5add330_Method">
    <vt:lpwstr>Standard</vt:lpwstr>
  </property>
  <property fmtid="{D5CDD505-2E9C-101B-9397-08002B2CF9AE}" pid="5" name="MSIP_Label_eda87506-7fda-481d-a14b-4a8fe5add330_Name">
    <vt:lpwstr>internal</vt:lpwstr>
  </property>
  <property fmtid="{D5CDD505-2E9C-101B-9397-08002B2CF9AE}" pid="6" name="MSIP_Label_eda87506-7fda-481d-a14b-4a8fe5add330_SiteId">
    <vt:lpwstr>cd726fc8-636c-4794-8425-41f9d8b0d7d5</vt:lpwstr>
  </property>
  <property fmtid="{D5CDD505-2E9C-101B-9397-08002B2CF9AE}" pid="7" name="MSIP_Label_eda87506-7fda-481d-a14b-4a8fe5add330_ActionId">
    <vt:lpwstr>cc00a6d7-0aca-420c-97b5-188912fcc722</vt:lpwstr>
  </property>
  <property fmtid="{D5CDD505-2E9C-101B-9397-08002B2CF9AE}" pid="8" name="MSIP_Label_eda87506-7fda-481d-a14b-4a8fe5add330_ContentBits">
    <vt:lpwstr>0</vt:lpwstr>
  </property>
  <property fmtid="{D5CDD505-2E9C-101B-9397-08002B2CF9AE}" pid="9" name="MSIP_Label_eda87506-7fda-481d-a14b-4a8fe5add330_Tag">
    <vt:lpwstr>10, 3, 0, 1</vt:lpwstr>
  </property>
</Properties>
</file>